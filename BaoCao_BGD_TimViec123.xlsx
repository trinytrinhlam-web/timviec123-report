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2" autoFilterDateGrouping="1"/>
  </bookViews>
  <sheets>
    <sheet name="z_Config" sheetId="1" state="hidden" r:id="rId1"/>
    <sheet name="z_Trang" sheetId="2" state="hidden" r:id="rId2"/>
    <sheet name="z_TinhNang" sheetId="3" state="hidden" r:id="rId3"/>
    <sheet name="z_TrangFull" sheetId="4" state="hidden" r:id="rId4"/>
    <sheet name="z_TNFull" sheetId="5" state="hidden" r:id="rId5"/>
    <sheet name="z_Loi" sheetId="6" state="hidden" r:id="rId6"/>
    <sheet name="z_CV" sheetId="7" state="hidden" r:id="rId7"/>
    <sheet name="z_DB_DN" sheetId="8" state="hidden" r:id="rId8"/>
    <sheet name="z_DB_HR" sheetId="9" state="hidden" r:id="rId9"/>
    <sheet name="z_DB_UV" sheetId="10" state="hidden" r:id="rId10"/>
    <sheet name="z_DB_Tin" sheetId="11" state="hidden" r:id="rId11"/>
    <sheet name="00_Hướng_dẫn" sheetId="12" state="visible" r:id="rId12"/>
    <sheet name="01_Báo_cáo_Tháng" sheetId="13" state="visible" r:id="rId13"/>
    <sheet name="02_Báo_cáo_Tuần" sheetId="14" state="visible" r:id="rId14"/>
    <sheet name="03_Nghiệm_thu" sheetId="15" state="visible" r:id="rId15"/>
    <sheet name="04_Mục_tiêu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0.0%"/>
  </numFmts>
  <fonts count="35">
    <font>
      <name val="Calibri"/>
      <family val="2"/>
      <color theme="1"/>
      <sz val="11"/>
      <scheme val="minor"/>
    </font>
    <font>
      <name val="Arial"/>
      <b val="1"/>
      <color rgb="001A1A1A"/>
      <sz val="11"/>
    </font>
    <font>
      <name val="Arial"/>
      <b val="1"/>
      <color rgb="00FFFFFF"/>
      <sz val="15"/>
    </font>
    <font>
      <name val="Arial"/>
      <i val="1"/>
      <color rgb="006B7280"/>
      <sz val="10.5"/>
    </font>
    <font>
      <name val="Arial"/>
      <b val="1"/>
      <color rgb="00FFFFFF"/>
      <sz val="11"/>
    </font>
    <font>
      <name val="Arial"/>
      <color rgb="001A1A1A"/>
      <sz val="10.5"/>
    </font>
    <font>
      <name val="Arial"/>
      <b val="1"/>
      <color rgb="00FFFFFF"/>
      <sz val="11.5"/>
    </font>
    <font>
      <name val="Arial"/>
      <b val="1"/>
      <color rgb="002E5A88"/>
      <sz val="11"/>
    </font>
    <font>
      <name val="Arial"/>
      <b val="1"/>
      <color rgb="00C62828"/>
      <sz val="11"/>
    </font>
    <font>
      <name val="Arial"/>
      <i val="1"/>
      <color rgb="006B7280"/>
      <sz val="9.5"/>
    </font>
    <font>
      <name val="Arial"/>
      <b val="1"/>
      <color rgb="002E7D32"/>
      <sz val="10.5"/>
    </font>
    <font>
      <name val="Arial"/>
      <color rgb="001155CC"/>
      <sz val="10"/>
    </font>
    <font>
      <name val="Arial"/>
      <i val="1"/>
      <color rgb="006B7280"/>
      <sz val="10"/>
    </font>
    <font>
      <name val="Arial"/>
      <b val="1"/>
      <color rgb="001F3A5F"/>
      <sz val="12"/>
    </font>
    <font>
      <name val="Arial"/>
      <b val="1"/>
      <color rgb="00FFFFFF"/>
      <sz val="10.5"/>
    </font>
    <font>
      <name val="Arial"/>
      <b val="1"/>
      <color rgb="001F3A5F"/>
      <sz val="11"/>
    </font>
    <font>
      <name val="Arial"/>
      <b val="1"/>
      <color rgb="001F3A5F"/>
      <sz val="10.5"/>
    </font>
    <font>
      <name val="Arial"/>
      <b val="1"/>
      <color rgb="001A1A1A"/>
      <sz val="10.5"/>
    </font>
    <font>
      <name val="Arial"/>
      <color rgb="006B7280"/>
      <sz val="9.5"/>
    </font>
    <font>
      <name val="Arial"/>
      <b val="1"/>
      <color rgb="002E7D32"/>
      <sz val="12"/>
    </font>
    <font>
      <name val="Arial"/>
      <color rgb="002E7D32"/>
      <sz val="10.5"/>
    </font>
    <font>
      <name val="Arial"/>
      <b val="1"/>
      <color rgb="002E7D32"/>
      <sz val="11"/>
    </font>
    <font>
      <name val="Arial"/>
      <b val="1"/>
      <color rgb="00C62828"/>
      <sz val="10.5"/>
    </font>
    <font>
      <name val="Arial"/>
      <b val="1"/>
      <color rgb="00C62828"/>
      <sz val="12"/>
    </font>
    <font>
      <name val="Arial"/>
      <color rgb="00C62828"/>
      <sz val="10.5"/>
    </font>
    <font>
      <name val="Arial"/>
      <b val="1"/>
      <color rgb="00B8860B"/>
      <sz val="10.5"/>
    </font>
    <font>
      <name val="Arial"/>
      <b val="1"/>
      <color rgb="006B7280"/>
      <sz val="10.5"/>
    </font>
    <font>
      <name val="Arial"/>
      <color rgb="001A1A1A"/>
      <sz val="10"/>
    </font>
    <font>
      <name val="Arial"/>
      <b val="1"/>
      <color rgb="002E7D32"/>
      <sz val="10"/>
    </font>
    <font>
      <name val="Arial"/>
      <b val="1"/>
      <color rgb="00FFFFFF"/>
      <sz val="10"/>
    </font>
    <font>
      <name val="Arial"/>
      <b val="1"/>
      <color rgb="00FFFFFF"/>
      <sz val="9.5"/>
    </font>
    <font>
      <name val="Arial"/>
      <b val="1"/>
      <color rgb="001A1A1A"/>
      <sz val="10"/>
    </font>
    <font>
      <name val="Arial"/>
      <b val="1"/>
      <color rgb="001A1A1A"/>
      <sz val="12"/>
    </font>
    <font>
      <name val="Arial"/>
      <b val="1"/>
      <color rgb="00FFFFFF"/>
      <sz val="9"/>
    </font>
    <font>
      <name val="Arial"/>
      <color rgb="006B7280"/>
      <sz val="9"/>
    </font>
  </fonts>
  <fills count="12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FFF"/>
      </patternFill>
    </fill>
    <fill>
      <patternFill patternType="solid">
        <fgColor rgb="002E5A88"/>
      </patternFill>
    </fill>
    <fill>
      <patternFill patternType="solid">
        <fgColor rgb="00DCE6F1"/>
      </patternFill>
    </fill>
    <fill>
      <patternFill patternType="solid">
        <fgColor rgb="00F5F7FA"/>
      </patternFill>
    </fill>
    <fill>
      <patternFill patternType="solid">
        <fgColor rgb="00FFF3CD"/>
      </patternFill>
    </fill>
    <fill>
      <patternFill patternType="solid">
        <fgColor rgb="00FFF9DB"/>
      </patternFill>
    </fill>
    <fill>
      <patternFill patternType="solid">
        <fgColor rgb="00D9F0DD"/>
      </patternFill>
    </fill>
    <fill>
      <patternFill patternType="solid">
        <fgColor rgb="00FBE3E3"/>
      </patternFill>
    </fill>
    <fill>
      <patternFill patternType="solid">
        <fgColor rgb="006B7280"/>
      </patternFill>
    </fill>
  </fills>
  <borders count="2">
    <border>
      <left/>
      <right/>
      <top/>
      <bottom/>
      <diagonal/>
    </border>
    <border>
      <left style="thin">
        <color rgb="00C9D6E5"/>
      </left>
      <right style="thin">
        <color rgb="00C9D6E5"/>
      </right>
      <top style="thin">
        <color rgb="00C9D6E5"/>
      </top>
      <bottom style="thin">
        <color rgb="00C9D6E5"/>
      </bottom>
    </border>
  </borders>
  <cellStyleXfs count="1">
    <xf numFmtId="0" fontId="0" fillId="0" borderId="0"/>
  </cellStyleXfs>
  <cellXfs count="12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3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4" fillId="4" borderId="0" pivotButton="0" quotePrefix="0" xfId="0"/>
    <xf numFmtId="0" fontId="0" fillId="4" borderId="0" pivotButton="0" quotePrefix="0" xfId="0"/>
    <xf numFmtId="0" fontId="1" fillId="5" borderId="0" applyAlignment="1" pivotButton="0" quotePrefix="0" xfId="0">
      <alignment horizontal="left" vertical="center"/>
    </xf>
    <xf numFmtId="0" fontId="0" fillId="5" borderId="0" pivotButton="0" quotePrefix="0" xfId="0"/>
    <xf numFmtId="0" fontId="5" fillId="0" borderId="0" applyAlignment="1" pivotButton="0" quotePrefix="0" xfId="0">
      <alignment horizontal="left" vertical="center" wrapText="1"/>
    </xf>
    <xf numFmtId="0" fontId="6" fillId="4" borderId="0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8" fillId="7" borderId="1" applyAlignment="1" pivotButton="0" quotePrefix="0" xfId="0">
      <alignment horizontal="left" vertical="center"/>
    </xf>
    <xf numFmtId="0" fontId="1" fillId="7" borderId="1" applyAlignment="1" pivotButton="0" quotePrefix="0" xfId="0">
      <alignment horizontal="left" vertical="center"/>
    </xf>
    <xf numFmtId="0" fontId="0" fillId="7" borderId="1" pivotButton="0" quotePrefix="0" xfId="0"/>
    <xf numFmtId="0" fontId="9" fillId="3" borderId="0" applyAlignment="1" pivotButton="0" quotePrefix="0" xfId="0">
      <alignment horizontal="left" vertical="center" wrapText="1"/>
    </xf>
    <xf numFmtId="0" fontId="1" fillId="5" borderId="1" pivotButton="0" quotePrefix="0" xfId="0"/>
    <xf numFmtId="0" fontId="10" fillId="0" borderId="1" applyAlignment="1" pivotButton="0" quotePrefix="0" xfId="0">
      <alignment horizontal="left" vertical="center"/>
    </xf>
    <xf numFmtId="0" fontId="11" fillId="0" borderId="1" applyAlignment="1" pivotButton="0" quotePrefix="0" xfId="0">
      <alignment horizontal="left" vertical="center"/>
    </xf>
    <xf numFmtId="0" fontId="12" fillId="3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164" fontId="1" fillId="8" borderId="1" applyAlignment="1" pivotButton="0" quotePrefix="0" xfId="0">
      <alignment horizontal="center" vertical="center"/>
    </xf>
    <xf numFmtId="0" fontId="14" fillId="2" borderId="1" applyAlignment="1" pivotButton="0" quotePrefix="0" xfId="0">
      <alignment horizontal="left" vertical="center"/>
    </xf>
    <xf numFmtId="0" fontId="14" fillId="2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left" vertical="center"/>
    </xf>
    <xf numFmtId="0" fontId="0" fillId="5" borderId="1" pivotButton="0" quotePrefix="0" xfId="0"/>
    <xf numFmtId="0" fontId="5" fillId="3" borderId="1" applyAlignment="1" pivotButton="0" quotePrefix="0" xfId="0">
      <alignment horizontal="left" vertical="center" wrapText="1"/>
    </xf>
    <xf numFmtId="3" fontId="16" fillId="3" borderId="1" applyAlignment="1" pivotButton="0" quotePrefix="0" xfId="0">
      <alignment horizontal="center" vertical="center"/>
    </xf>
    <xf numFmtId="3" fontId="1" fillId="3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18" fillId="3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3" fontId="16" fillId="6" borderId="1" applyAlignment="1" pivotButton="0" quotePrefix="0" xfId="0">
      <alignment horizontal="center" vertical="center"/>
    </xf>
    <xf numFmtId="3" fontId="1" fillId="6" borderId="1" applyAlignment="1" pivotButton="0" quotePrefix="0" xfId="0">
      <alignment horizontal="center" vertical="center"/>
    </xf>
    <xf numFmtId="165" fontId="5" fillId="6" borderId="1" applyAlignment="1" pivotButton="0" quotePrefix="0" xfId="0">
      <alignment horizontal="center" vertical="center"/>
    </xf>
    <xf numFmtId="0" fontId="17" fillId="6" borderId="1" applyAlignment="1" pivotButton="0" quotePrefix="0" xfId="0">
      <alignment horizontal="center" vertical="center"/>
    </xf>
    <xf numFmtId="0" fontId="18" fillId="6" borderId="1" applyAlignment="1" pivotButton="0" quotePrefix="0" xfId="0">
      <alignment horizontal="left" vertical="center" wrapText="1"/>
    </xf>
    <xf numFmtId="0" fontId="14" fillId="4" borderId="1" applyAlignment="1" pivotButton="0" quotePrefix="0" xfId="0">
      <alignment horizontal="left" vertical="center"/>
    </xf>
    <xf numFmtId="0" fontId="14" fillId="4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left" vertical="center"/>
    </xf>
    <xf numFmtId="3" fontId="19" fillId="9" borderId="1" applyAlignment="1" pivotButton="0" quotePrefix="0" xfId="0">
      <alignment horizontal="center" vertical="center"/>
    </xf>
    <xf numFmtId="3" fontId="20" fillId="9" borderId="1" applyAlignment="1" pivotButton="0" quotePrefix="0" xfId="0">
      <alignment horizontal="center" vertical="center"/>
    </xf>
    <xf numFmtId="165" fontId="21" fillId="9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left" vertical="center"/>
    </xf>
    <xf numFmtId="3" fontId="5" fillId="6" borderId="1" applyAlignment="1" pivotButton="0" quotePrefix="0" xfId="0">
      <alignment horizontal="center" vertical="center"/>
    </xf>
    <xf numFmtId="165" fontId="17" fillId="6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/>
    </xf>
    <xf numFmtId="165" fontId="17" fillId="3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2" fillId="10" borderId="1" applyAlignment="1" pivotButton="0" quotePrefix="0" xfId="0">
      <alignment horizontal="left" vertical="center"/>
    </xf>
    <xf numFmtId="3" fontId="23" fillId="10" borderId="1" applyAlignment="1" pivotButton="0" quotePrefix="0" xfId="0">
      <alignment horizontal="center" vertical="center"/>
    </xf>
    <xf numFmtId="0" fontId="24" fillId="10" borderId="1" applyAlignment="1" pivotButton="0" quotePrefix="0" xfId="0">
      <alignment horizontal="center" vertical="center"/>
    </xf>
    <xf numFmtId="0" fontId="8" fillId="1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0" fillId="4" borderId="1" pivotButton="0" quotePrefix="0" xfId="0"/>
    <xf numFmtId="0" fontId="22" fillId="3" borderId="1" applyAlignment="1" pivotButton="0" quotePrefix="0" xfId="0">
      <alignment horizontal="left" vertical="center"/>
    </xf>
    <xf numFmtId="0" fontId="18" fillId="3" borderId="1" applyAlignment="1" pivotButton="0" quotePrefix="0" xfId="0">
      <alignment horizontal="left" vertical="center"/>
    </xf>
    <xf numFmtId="0" fontId="0" fillId="3" borderId="1" pivotButton="0" quotePrefix="0" xfId="0"/>
    <xf numFmtId="0" fontId="25" fillId="6" borderId="1" applyAlignment="1" pivotButton="0" quotePrefix="0" xfId="0">
      <alignment horizontal="left" vertical="center"/>
    </xf>
    <xf numFmtId="0" fontId="18" fillId="6" borderId="1" applyAlignment="1" pivotButton="0" quotePrefix="0" xfId="0">
      <alignment horizontal="left" vertical="center"/>
    </xf>
    <xf numFmtId="0" fontId="0" fillId="6" borderId="1" pivotButton="0" quotePrefix="0" xfId="0"/>
    <xf numFmtId="0" fontId="10" fillId="3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left" vertical="center"/>
    </xf>
    <xf numFmtId="0" fontId="26" fillId="3" borderId="1" applyAlignment="1" pivotButton="0" quotePrefix="0" xfId="0">
      <alignment horizontal="left" vertical="center"/>
    </xf>
    <xf numFmtId="0" fontId="26" fillId="6" borderId="1" applyAlignment="1" pivotButton="0" quotePrefix="0" xfId="0">
      <alignment horizontal="left" vertical="center"/>
    </xf>
    <xf numFmtId="0" fontId="22" fillId="6" borderId="1" applyAlignment="1" pivotButton="0" quotePrefix="0" xfId="0">
      <alignment horizontal="left" vertical="center"/>
    </xf>
    <xf numFmtId="0" fontId="25" fillId="3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17" fillId="3" borderId="1" applyAlignment="1" pivotButton="0" quotePrefix="0" xfId="0">
      <alignment horizontal="left" vertical="center"/>
    </xf>
    <xf numFmtId="0" fontId="7" fillId="3" borderId="1" applyAlignment="1" pivotButton="0" quotePrefix="0" xfId="0">
      <alignment horizontal="left" vertical="center"/>
    </xf>
    <xf numFmtId="0" fontId="17" fillId="6" borderId="1" applyAlignment="1" pivotButton="0" quotePrefix="0" xfId="0">
      <alignment horizontal="left" vertical="center"/>
    </xf>
    <xf numFmtId="0" fontId="21" fillId="6" borderId="1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0" fontId="27" fillId="3" borderId="1" applyAlignment="1" pivotButton="0" quotePrefix="0" xfId="0">
      <alignment horizontal="left" vertical="center"/>
    </xf>
    <xf numFmtId="3" fontId="0" fillId="0" borderId="1" pivotButton="0" quotePrefix="0" xfId="0"/>
    <xf numFmtId="0" fontId="17" fillId="5" borderId="1" applyAlignment="1" pivotButton="0" quotePrefix="0" xfId="0">
      <alignment horizontal="center" vertical="center"/>
    </xf>
    <xf numFmtId="164" fontId="17" fillId="3" borderId="1" applyAlignment="1" pivotButton="0" quotePrefix="0" xfId="0">
      <alignment horizontal="center" vertical="center"/>
    </xf>
    <xf numFmtId="164" fontId="17" fillId="3" borderId="0" applyAlignment="1" pivotButton="0" quotePrefix="0" xfId="0">
      <alignment horizontal="center" vertical="center"/>
    </xf>
    <xf numFmtId="0" fontId="28" fillId="3" borderId="1" applyAlignment="1" pivotButton="0" quotePrefix="0" xfId="0">
      <alignment horizontal="center" vertical="center"/>
    </xf>
    <xf numFmtId="164" fontId="0" fillId="0" borderId="1" pivotButton="0" quotePrefix="0" xfId="0"/>
    <xf numFmtId="0" fontId="29" fillId="4" borderId="1" applyAlignment="1" pivotButton="0" quotePrefix="0" xfId="0">
      <alignment horizontal="left" vertical="center" wrapText="1"/>
    </xf>
    <xf numFmtId="0" fontId="27" fillId="8" borderId="1" applyAlignment="1" pivotButton="0" quotePrefix="0" xfId="0">
      <alignment horizontal="left" vertical="center"/>
    </xf>
    <xf numFmtId="0" fontId="0" fillId="8" borderId="1" pivotButton="0" quotePrefix="0" xfId="0"/>
    <xf numFmtId="164" fontId="27" fillId="8" borderId="1" applyAlignment="1" pivotButton="0" quotePrefix="0" xfId="0">
      <alignment horizontal="left" vertical="center"/>
    </xf>
    <xf numFmtId="0" fontId="30" fillId="2" borderId="1" applyAlignment="1" pivotButton="0" quotePrefix="0" xfId="0">
      <alignment horizontal="center" vertical="center" wrapText="1"/>
    </xf>
    <xf numFmtId="0" fontId="27" fillId="3" borderId="1" applyAlignment="1" pivotButton="0" quotePrefix="0" xfId="0">
      <alignment horizontal="left" vertical="center" wrapText="1"/>
    </xf>
    <xf numFmtId="0" fontId="27" fillId="8" borderId="1" applyAlignment="1" pivotButton="0" quotePrefix="0" xfId="0">
      <alignment horizontal="left" vertical="center" wrapText="1"/>
    </xf>
    <xf numFmtId="0" fontId="27" fillId="8" borderId="1" applyAlignment="1" pivotButton="0" quotePrefix="0" xfId="0">
      <alignment horizontal="center" vertical="center" wrapText="1"/>
    </xf>
    <xf numFmtId="0" fontId="27" fillId="3" borderId="1" applyAlignment="1" pivotButton="0" quotePrefix="0" xfId="0">
      <alignment horizontal="center" vertical="center" wrapText="1"/>
    </xf>
    <xf numFmtId="0" fontId="27" fillId="6" borderId="1" applyAlignment="1" pivotButton="0" quotePrefix="0" xfId="0">
      <alignment horizontal="left" vertical="center" wrapText="1"/>
    </xf>
    <xf numFmtId="0" fontId="27" fillId="6" borderId="1" applyAlignment="1" pivotButton="0" quotePrefix="0" xfId="0">
      <alignment horizontal="center" vertical="center" wrapText="1"/>
    </xf>
    <xf numFmtId="3" fontId="27" fillId="3" borderId="1" applyAlignment="1" pivotButton="0" quotePrefix="0" xfId="0">
      <alignment horizontal="center" vertical="center" wrapText="1"/>
    </xf>
    <xf numFmtId="165" fontId="27" fillId="3" borderId="1" applyAlignment="1" pivotButton="0" quotePrefix="0" xfId="0">
      <alignment horizontal="center" vertical="center" wrapText="1"/>
    </xf>
    <xf numFmtId="3" fontId="27" fillId="6" borderId="1" applyAlignment="1" pivotButton="0" quotePrefix="0" xfId="0">
      <alignment horizontal="center" vertical="center" wrapText="1"/>
    </xf>
    <xf numFmtId="165" fontId="27" fillId="6" borderId="1" applyAlignment="1" pivotButton="0" quotePrefix="0" xfId="0">
      <alignment horizontal="center" vertical="center" wrapText="1"/>
    </xf>
    <xf numFmtId="3" fontId="27" fillId="8" borderId="1" applyAlignment="1" pivotButton="0" quotePrefix="0" xfId="0">
      <alignment horizontal="center" vertical="center" wrapText="1"/>
    </xf>
    <xf numFmtId="0" fontId="31" fillId="3" borderId="1" applyAlignment="1" pivotButton="0" quotePrefix="0" xfId="0">
      <alignment horizontal="center" vertical="center"/>
    </xf>
    <xf numFmtId="0" fontId="31" fillId="6" borderId="1" applyAlignment="1" pivotButton="0" quotePrefix="0" xfId="0">
      <alignment horizontal="center" vertical="center"/>
    </xf>
    <xf numFmtId="165" fontId="27" fillId="8" borderId="1" applyAlignment="1" pivotButton="0" quotePrefix="0" xfId="0">
      <alignment horizontal="center" vertical="center" wrapText="1"/>
    </xf>
    <xf numFmtId="0" fontId="31" fillId="8" borderId="1" applyAlignment="1" pivotButton="0" quotePrefix="0" xfId="0">
      <alignment horizontal="center" vertical="center"/>
    </xf>
    <xf numFmtId="164" fontId="27" fillId="8" borderId="1" applyAlignment="1" pivotButton="0" quotePrefix="0" xfId="0">
      <alignment horizontal="center" vertical="center" wrapText="1"/>
    </xf>
    <xf numFmtId="0" fontId="31" fillId="3" borderId="1" applyAlignment="1" pivotButton="0" quotePrefix="0" xfId="0">
      <alignment horizontal="left" vertical="center"/>
    </xf>
    <xf numFmtId="0" fontId="8" fillId="10" borderId="1" applyAlignment="1" pivotButton="0" quotePrefix="0" xfId="0">
      <alignment horizontal="left" vertical="center"/>
    </xf>
    <xf numFmtId="0" fontId="0" fillId="10" borderId="1" pivotButton="0" quotePrefix="0" xfId="0"/>
    <xf numFmtId="0" fontId="32" fillId="8" borderId="1" applyAlignment="1" pivotButton="0" quotePrefix="0" xfId="0">
      <alignment horizontal="center" vertical="center"/>
    </xf>
    <xf numFmtId="0" fontId="29" fillId="4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31" fillId="3" borderId="1" applyAlignment="1" pivotButton="0" quotePrefix="0" xfId="0">
      <alignment horizontal="left" vertical="center" wrapText="1"/>
    </xf>
    <xf numFmtId="0" fontId="27" fillId="8" borderId="1" applyAlignment="1" pivotButton="0" quotePrefix="0" xfId="0">
      <alignment horizontal="center" vertical="center"/>
    </xf>
    <xf numFmtId="164" fontId="27" fillId="8" borderId="1" applyAlignment="1" pivotButton="0" quotePrefix="0" xfId="0">
      <alignment horizontal="center" vertical="center"/>
    </xf>
    <xf numFmtId="0" fontId="27" fillId="3" borderId="1" applyAlignment="1" pivotButton="0" quotePrefix="0" xfId="0">
      <alignment horizontal="center" vertical="center"/>
    </xf>
    <xf numFmtId="0" fontId="31" fillId="6" borderId="1" applyAlignment="1" pivotButton="0" quotePrefix="0" xfId="0">
      <alignment horizontal="left" vertical="center" wrapText="1"/>
    </xf>
    <xf numFmtId="0" fontId="29" fillId="2" borderId="1" applyAlignment="1" pivotButton="0" quotePrefix="0" xfId="0">
      <alignment horizontal="center" vertical="center"/>
    </xf>
    <xf numFmtId="0" fontId="33" fillId="2" borderId="1" applyAlignment="1" pivotButton="0" quotePrefix="0" xfId="0">
      <alignment horizontal="center" vertical="center" wrapText="1"/>
    </xf>
    <xf numFmtId="0" fontId="31" fillId="5" borderId="1" applyAlignment="1" pivotButton="0" quotePrefix="0" xfId="0">
      <alignment horizontal="center" vertical="center"/>
    </xf>
    <xf numFmtId="3" fontId="27" fillId="8" borderId="1" applyAlignment="1" pivotButton="0" quotePrefix="0" xfId="0">
      <alignment horizontal="center" vertical="center"/>
    </xf>
    <xf numFmtId="0" fontId="33" fillId="11" borderId="1" applyAlignment="1" pivotButton="0" quotePrefix="0" xfId="0">
      <alignment horizontal="center" vertical="center"/>
    </xf>
    <xf numFmtId="0" fontId="27" fillId="5" borderId="1" applyAlignment="1" pivotButton="0" quotePrefix="0" xfId="0">
      <alignment horizontal="center" vertical="center"/>
    </xf>
    <xf numFmtId="0" fontId="34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URL file làm việc</t>
        </is>
      </c>
      <c r="B1" t="inlineStr">
        <is>
          <t>https://docs.google.com/spreadsheets/d/1J2A_OiWz7IeYsgafLDY3mIfZsG-xCNGhkNaSQkhicHg/edit</t>
        </is>
      </c>
    </row>
    <row r="2">
      <c r="A2" s="1" t="inlineStr">
        <is>
          <t>Năm</t>
        </is>
      </c>
      <c r="B2" t="n">
        <v>2026</v>
      </c>
    </row>
    <row r="3">
      <c r="A3" s="1" t="inlineStr">
        <is>
          <t>URL file Database</t>
        </is>
      </c>
      <c r="B3" t="inlineStr">
        <is>
          <t>https://docs.google.com/spreadsheets/d/1i7-xLYiLHg60EqmCpfeA9B4Y0T-8YsgXk-_0qJ4eACo/edit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IMPORTRANGE('z_Config'!$B$1,"02_UI_UX!A3:N3")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IMPORTRANGE('z_Config'!$B$1,"03_Tính_năng!A3:N3")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IMPORTRANGE('z_Config'!$B$1,"02_UI_UX!A4:R200")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IMPORTRANGE('z_Config'!$B$1,"03_Tính_năng!A4:T200")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IMPORTRANGE('z_Config'!$B$1,"05_Lỗi_Tester!A4:V606")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IMPORTRANGE('z_Config'!$B$1,"01_Cong_viec_ngay!A4:P1004")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IMPORTRANGE('z_Config'!$B$3,"'HS DN'!D4:N970")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IMPORTRANGE('z_Config'!$B$3,"'HS HR'!D4:E966")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IMPORTRANGE('z_Config'!$B$3,"'HS ỨNG TUYỂN'!D5:D990")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IMPORTRANGE('z_Config'!$B$3,"'Tin tuyển dụng'!C4:D1006")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3A5F"/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8" customWidth="1" min="3" max="3"/>
    <col width="20" customWidth="1" min="4" max="4"/>
    <col width="20" customWidth="1" min="5" max="5"/>
    <col width="16" customWidth="1" min="6" max="6"/>
  </cols>
  <sheetData>
    <row r="1" ht="30" customHeight="1">
      <c r="A1" s="2" t="inlineStr">
        <is>
          <t>BÁO CÁO TIẾN ĐỘ WEBSITE TIMVIEC123 — DÀNH CHO BAN GIÁM ĐỐC</t>
        </is>
      </c>
      <c r="B1" s="3" t="n"/>
      <c r="C1" s="3" t="n"/>
      <c r="D1" s="3" t="n"/>
      <c r="E1" s="3" t="n"/>
      <c r="F1" s="3" t="n"/>
    </row>
    <row r="2" ht="20" customHeight="1">
      <c r="A2" s="4" t="inlineStr">
        <is>
          <t>Số liệu đồng bộ live từ file làm việc QA và file Database. BGD chỉ xem, chọn kỳ ở sheet Tháng/Tuần.</t>
        </is>
      </c>
      <c r="B2" s="5" t="n"/>
      <c r="C2" s="5" t="n"/>
      <c r="D2" s="5" t="n"/>
      <c r="E2" s="5" t="n"/>
      <c r="F2" s="5" t="n"/>
    </row>
    <row r="4">
      <c r="A4" s="6" t="inlineStr">
        <is>
          <t>NGƯỜI DÙNG</t>
        </is>
      </c>
      <c r="B4" s="7" t="n"/>
      <c r="C4" s="6" t="inlineStr">
        <is>
          <t>CÁCH SỬ DỤNG</t>
        </is>
      </c>
      <c r="D4" s="7" t="n"/>
      <c r="E4" s="7" t="n"/>
      <c r="F4" s="7" t="n"/>
    </row>
    <row r="5" ht="30" customHeight="1">
      <c r="A5" s="8" t="inlineStr">
        <is>
          <t>Ban Giám đốc</t>
        </is>
      </c>
      <c r="B5" s="9" t="n"/>
      <c r="C5" s="10" t="inlineStr">
        <is>
          <t>Xem tiến độ trang/tính năng, tình trạng lỗi, database và nghiệm thu. Chọn Tháng/Tuần để lọc kỳ.</t>
        </is>
      </c>
    </row>
    <row r="6" ht="30" customHeight="1">
      <c r="A6" s="8" t="inlineStr">
        <is>
          <t>Tester</t>
        </is>
      </c>
      <c r="B6" s="9" t="n"/>
      <c r="C6" s="10" t="inlineStr">
        <is>
          <t>Cập nhật dữ liệu tại file làm việc; nhập Mục tiêu tại sheet 04_Mục_tiêu.</t>
        </is>
      </c>
    </row>
    <row r="7" ht="30" customHeight="1">
      <c r="A7" s="8" t="inlineStr">
        <is>
          <t>Dev</t>
        </is>
      </c>
      <c r="B7" s="9" t="n"/>
      <c r="C7" s="10" t="inlineStr">
        <is>
          <t>Cập nhật xử lý lỗi tại 06_RTM_Dev_Test của file làm việc.</t>
        </is>
      </c>
    </row>
    <row r="9" ht="22" customHeight="1">
      <c r="A9" s="11" t="inlineStr">
        <is>
          <t>NGUYÊN TẮC TÍNH SỐ</t>
        </is>
      </c>
      <c r="B9" s="7" t="n"/>
      <c r="C9" s="7" t="n"/>
      <c r="D9" s="7" t="n"/>
      <c r="E9" s="7" t="n"/>
      <c r="F9" s="7" t="n"/>
    </row>
    <row r="10" ht="26" customHeight="1">
      <c r="A10" s="12" t="n">
        <v>1</v>
      </c>
      <c r="B10" s="13" t="inlineStr">
        <is>
          <t>Tiến độ trang = số trang Hoàn thành / tổng số trang (hiện 63). Tính năng / 88.</t>
        </is>
      </c>
      <c r="C10" s="14" t="n"/>
      <c r="D10" s="14" t="n"/>
      <c r="E10" s="14" t="n"/>
      <c r="F10" s="14" t="n"/>
    </row>
    <row r="11" ht="26" customHeight="1">
      <c r="A11" s="12" t="n">
        <v>2</v>
      </c>
      <c r="B11" s="13" t="inlineStr">
        <is>
          <t>Số lỗi lấy toàn bộ từ 05_Lỗi_Tester. "Đang mở" = Open + Chưa gửi Dev; "Đã xử lý" = Fixed + Verified + Closed.</t>
        </is>
      </c>
      <c r="C11" s="14" t="n"/>
      <c r="D11" s="14" t="n"/>
      <c r="E11" s="14" t="n"/>
      <c r="F11" s="14" t="n"/>
    </row>
    <row r="12" ht="26" customHeight="1">
      <c r="A12" s="12" t="n">
        <v>3</v>
      </c>
      <c r="B12" s="13" t="inlineStr">
        <is>
          <t>Mục tiêu nhập tại sheet 04_Mục_tiêu theo từng tháng/tuần (không cố định, không dùng chung).</t>
        </is>
      </c>
      <c r="C12" s="14" t="n"/>
      <c r="D12" s="14" t="n"/>
      <c r="E12" s="14" t="n"/>
      <c r="F12" s="14" t="n"/>
    </row>
    <row r="13" ht="26" customHeight="1">
      <c r="A13" s="12" t="n">
        <v>4</v>
      </c>
      <c r="B13" s="13" t="inlineStr">
        <is>
          <t>Chi tiết theo Trang/Tính năng = mục có Ngày test gần nhất trong kỳ, trạng thái Hoàn thành/Kiểm tra lại.</t>
        </is>
      </c>
      <c r="C13" s="14" t="n"/>
      <c r="D13" s="14" t="n"/>
      <c r="E13" s="14" t="n"/>
      <c r="F13" s="14" t="n"/>
    </row>
    <row r="14" ht="26" customHeight="1">
      <c r="A14" s="12" t="n">
        <v>5</v>
      </c>
      <c r="B14" s="13" t="inlineStr">
        <is>
          <t>Chỉ số Database lấy từ file Hồ sơ, đếm theo ngày đăng/tạo của kỳ.</t>
        </is>
      </c>
      <c r="C14" s="14" t="n"/>
      <c r="D14" s="14" t="n"/>
      <c r="E14" s="14" t="n"/>
      <c r="F14" s="14" t="n"/>
    </row>
    <row r="16" ht="22" customHeight="1">
      <c r="A16" s="11" t="inlineStr">
        <is>
          <t>KÍCH HOẠT KẾT NỐI (làm 1 lần)</t>
        </is>
      </c>
      <c r="B16" s="7" t="n"/>
      <c r="C16" s="7" t="n"/>
      <c r="D16" s="7" t="n"/>
      <c r="E16" s="7" t="n"/>
      <c r="F16" s="7" t="n"/>
    </row>
    <row r="17">
      <c r="A17" s="15" t="inlineStr">
        <is>
          <t>① File làm việc QA</t>
        </is>
      </c>
      <c r="B17" s="16">
        <f>IMPORTRANGE('z_Config'!$B$1,"05_Lỗi_Tester!E4")</f>
        <v/>
      </c>
      <c r="C17" s="17" t="n"/>
      <c r="D17" s="17" t="n"/>
      <c r="E17" s="17" t="n"/>
      <c r="F17" s="17" t="n"/>
    </row>
    <row r="18">
      <c r="A18" s="15" t="inlineStr">
        <is>
          <t>② File Database</t>
        </is>
      </c>
      <c r="B18" s="16">
        <f>IMPORTRANGE('z_Config'!$B$3,"'HS DN'!D3")</f>
        <v/>
      </c>
      <c r="C18" s="17" t="n"/>
      <c r="D18" s="17" t="n"/>
      <c r="E18" s="17" t="n"/>
      <c r="F18" s="17" t="n"/>
    </row>
    <row r="19" ht="28" customHeight="1">
      <c r="A19" s="18" t="inlineStr">
        <is>
          <t>→ Nếu ô ① hoặc ② báo #REF!: bấm vào ô đó → "Cho phép truy cập / Allow access". Làm 1 lần cho mỗi ô.</t>
        </is>
      </c>
      <c r="B19" s="5" t="n"/>
      <c r="C19" s="5" t="n"/>
      <c r="D19" s="5" t="n"/>
      <c r="E19" s="5" t="n"/>
      <c r="F19" s="5" t="n"/>
    </row>
    <row r="20">
      <c r="A20" s="19" t="inlineStr">
        <is>
          <t>Trạng thái kết nối</t>
        </is>
      </c>
      <c r="B20" s="20">
        <f>IF(ISERROR('z_Trang'!$B$1),"⚠ Chưa kết nối file làm việc","✔ Đã kết nối")&amp;"   |   "&amp;IF(ISERROR('z_DB_DN'!$A:$A),"⚠ Chưa kết nối Database","✔ Database OK")</f>
        <v/>
      </c>
      <c r="C20" s="14" t="n"/>
      <c r="D20" s="14" t="n"/>
      <c r="E20" s="14" t="n"/>
      <c r="F20" s="14" t="n"/>
    </row>
    <row r="22" ht="22" customHeight="1">
      <c r="A22" s="11" t="inlineStr">
        <is>
          <t>LIÊN KẾT</t>
        </is>
      </c>
      <c r="B22" s="7" t="n"/>
      <c r="C22" s="7" t="n"/>
      <c r="D22" s="7" t="n"/>
      <c r="E22" s="7" t="n"/>
      <c r="F22" s="7" t="n"/>
    </row>
    <row r="23">
      <c r="A23" s="19" t="inlineStr">
        <is>
          <t>File làm việc (QA)</t>
        </is>
      </c>
      <c r="B23" s="21" t="inlineStr">
        <is>
          <t>https://docs.google.com/spreadsheets/d/1J2A_OiWz7IeYsgafLDY3mIfZsG-xCNGhkNaSQkhicHg/edit</t>
        </is>
      </c>
      <c r="C23" s="14" t="n"/>
      <c r="D23" s="14" t="n"/>
      <c r="E23" s="14" t="n"/>
      <c r="F23" s="14" t="n"/>
    </row>
    <row r="24">
      <c r="A24" s="19" t="inlineStr">
        <is>
          <t>File Database (Hồ sơ)</t>
        </is>
      </c>
      <c r="B24" s="21" t="inlineStr">
        <is>
          <t>https://docs.google.com/spreadsheets/d/1i7-xLYiLHg60EqmCpfeA9B4Y0T-8YsgXk-_0qJ4eACo/edit</t>
        </is>
      </c>
      <c r="C24" s="14" t="n"/>
      <c r="D24" s="14" t="n"/>
      <c r="E24" s="14" t="n"/>
      <c r="F24" s="14" t="n"/>
    </row>
  </sheetData>
  <mergeCells count="24">
    <mergeCell ref="A16:F16"/>
    <mergeCell ref="C7:F7"/>
    <mergeCell ref="B18:F18"/>
    <mergeCell ref="A6:B6"/>
    <mergeCell ref="A2:F2"/>
    <mergeCell ref="B12:F12"/>
    <mergeCell ref="A7:B7"/>
    <mergeCell ref="B11:F11"/>
    <mergeCell ref="C6:F6"/>
    <mergeCell ref="A22:F22"/>
    <mergeCell ref="B23:F23"/>
    <mergeCell ref="B14:F14"/>
    <mergeCell ref="C5:F5"/>
    <mergeCell ref="B17:F17"/>
    <mergeCell ref="B13:F13"/>
    <mergeCell ref="A19:F19"/>
    <mergeCell ref="C4:F4"/>
    <mergeCell ref="B10:F10"/>
    <mergeCell ref="A9:F9"/>
    <mergeCell ref="A5:B5"/>
    <mergeCell ref="A4:B4"/>
    <mergeCell ref="B24:F24"/>
    <mergeCell ref="B20:F20"/>
    <mergeCell ref="A1:F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2E5A88"/>
    <outlinePr summaryBelow="1" summaryRight="1"/>
    <pageSetUpPr/>
  </sheetPr>
  <dimension ref="A1:O129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5" customWidth="1" min="3" max="3"/>
    <col width="11" customWidth="1" min="4" max="4"/>
    <col width="11" customWidth="1" min="5" max="5"/>
    <col width="28" customWidth="1" min="6" max="6"/>
    <col width="12" customWidth="1" min="7" max="7"/>
    <col width="15" customWidth="1" min="8" max="8"/>
    <col hidden="1" width="13" customWidth="1" min="14" max="14"/>
    <col hidden="1" width="13" customWidth="1" min="15" max="15"/>
  </cols>
  <sheetData>
    <row r="1" ht="30" customHeight="1">
      <c r="A1" s="2" t="inlineStr">
        <is>
          <t>BÁO CÁO TIẾN ĐỘ THEO THÁNG</t>
        </is>
      </c>
      <c r="B1" s="3" t="n"/>
      <c r="C1" s="3" t="n"/>
      <c r="D1" s="3" t="n"/>
      <c r="E1" s="3" t="n"/>
      <c r="F1" s="3" t="n"/>
    </row>
    <row r="2">
      <c r="A2" s="22" t="inlineStr">
        <is>
          <t>Chỉ số "trong tháng" lọc theo kỳ đã chọn; số Tổng quan là thời điểm hiện tại. Mục tiêu nhập tại sheet 04_Mục_tiêu (mỗi kỳ một dòng).</t>
        </is>
      </c>
      <c r="B2" s="5" t="n"/>
      <c r="C2" s="5" t="n"/>
      <c r="D2" s="5" t="n"/>
      <c r="E2" s="5" t="n"/>
      <c r="F2" s="5" t="n"/>
    </row>
    <row r="4">
      <c r="A4" s="23" t="inlineStr">
        <is>
          <t>Tháng báo cáo</t>
        </is>
      </c>
      <c r="B4" s="24" t="n">
        <v>8</v>
      </c>
      <c r="C4" s="23" t="inlineStr">
        <is>
          <t>Năm</t>
        </is>
      </c>
      <c r="D4" s="24" t="n">
        <v>2026</v>
      </c>
      <c r="E4" s="23" t="inlineStr">
        <is>
          <t>Ngày chốt</t>
        </is>
      </c>
      <c r="F4" s="25">
        <f>TODAY()</f>
        <v/>
      </c>
      <c r="N4">
        <f>DATE(D4,B4,1)</f>
        <v/>
      </c>
      <c r="O4">
        <f>EOMONTH(N4,0)</f>
        <v/>
      </c>
    </row>
    <row r="6" ht="22" customHeight="1">
      <c r="A6" s="26" t="inlineStr">
        <is>
          <t>KPI / CHỈ SỐ</t>
        </is>
      </c>
      <c r="B6" s="27" t="inlineStr">
        <is>
          <t>Mục tiêu kỳ</t>
        </is>
      </c>
      <c r="C6" s="27" t="inlineStr">
        <is>
          <t>Kết quả</t>
        </is>
      </c>
      <c r="D6" s="27" t="inlineStr">
        <is>
          <t>Tỷ lệ đạt</t>
        </is>
      </c>
      <c r="E6" s="27" t="inlineStr">
        <is>
          <t>Đạt KPI?</t>
        </is>
      </c>
      <c r="F6" s="27" t="inlineStr">
        <is>
          <t>Ghi chú</t>
        </is>
      </c>
    </row>
    <row r="7" ht="19" customHeight="1">
      <c r="A7" s="28" t="inlineStr">
        <is>
          <t>I. KIỂM TRA WEBSITE</t>
        </is>
      </c>
      <c r="B7" s="29" t="n"/>
      <c r="C7" s="29" t="n"/>
      <c r="D7" s="29" t="n"/>
      <c r="E7" s="29" t="n"/>
      <c r="F7" s="29" t="n"/>
    </row>
    <row r="8">
      <c r="A8" s="30" t="inlineStr">
        <is>
          <t>1. Trang hoàn thành</t>
        </is>
      </c>
      <c r="B8" s="31">
        <f>IFERROR(INDEX('04_Mục_tiêu'!$B$5:$L$16,MATCH($B$4,'04_Mục_tiêu'!$A$5:$A$16,0),1),"")</f>
        <v/>
      </c>
      <c r="C8" s="32">
        <f>'z_Trang'!$D$1</f>
        <v/>
      </c>
      <c r="D8" s="33">
        <f>IFERROR(C8/B8,"")</f>
        <v/>
      </c>
      <c r="E8" s="34">
        <f>IF(ISNUMBER(B8),IF(C8&gt;=B8,"Đạt","Chưa đạt"),"Theo dõi")</f>
        <v/>
      </c>
      <c r="F8" s="35" t="inlineStr">
        <is>
          <t>Hoàn thành / tổng số trang</t>
        </is>
      </c>
    </row>
    <row r="9">
      <c r="A9" s="36" t="inlineStr">
        <is>
          <t>2. Tính năng hoàn thành</t>
        </is>
      </c>
      <c r="B9" s="37">
        <f>IFERROR(INDEX('04_Mục_tiêu'!$B$5:$L$16,MATCH($B$4,'04_Mục_tiêu'!$A$5:$A$16,0),2),"")</f>
        <v/>
      </c>
      <c r="C9" s="38">
        <f>'z_TinhNang'!$D$1</f>
        <v/>
      </c>
      <c r="D9" s="39">
        <f>IFERROR(C9/B9,"")</f>
        <v/>
      </c>
      <c r="E9" s="40">
        <f>IF(ISNUMBER(B9),IF(C9&gt;=B9,"Đạt","Chưa đạt"),"Theo dõi")</f>
        <v/>
      </c>
      <c r="F9" s="41" t="inlineStr">
        <is>
          <t>Hoàn thành / 88 tính năng</t>
        </is>
      </c>
    </row>
    <row r="10">
      <c r="A10" s="30" t="inlineStr">
        <is>
          <t>3. Công việc hoàn thành trong tháng</t>
        </is>
      </c>
      <c r="B10" s="31">
        <f>IFERROR(INDEX('04_Mục_tiêu'!$B$5:$L$16,MATCH($B$4,'04_Mục_tiêu'!$A$5:$A$16,0),3),"")</f>
        <v/>
      </c>
      <c r="C10" s="32">
        <f>COUNTIFS('z_CV'!$B:$B,"&gt;="&amp;$N$4,'z_CV'!$B:$B,"&lt;="&amp;$O$4,'z_CV'!$O:$O,"Hoàn thành")</f>
        <v/>
      </c>
      <c r="D10" s="33">
        <f>IFERROR(C10/B10,"")</f>
        <v/>
      </c>
      <c r="E10" s="34">
        <f>IF(ISNUMBER(B10),IF(C10&gt;=B10,"Đạt","Chưa đạt"),"Theo dõi")</f>
        <v/>
      </c>
      <c r="F10" s="35" t="inlineStr">
        <is>
          <t>Nhật ký công việc theo ngày</t>
        </is>
      </c>
    </row>
    <row r="11">
      <c r="A11" s="36" t="inlineStr">
        <is>
          <t>4. Lỗi phát hiện trong tháng</t>
        </is>
      </c>
      <c r="B11" s="37">
        <f>IFERROR(INDEX('04_Mục_tiêu'!$B$5:$L$16,MATCH($B$4,'04_Mục_tiêu'!$A$5:$A$16,0),4),"")</f>
        <v/>
      </c>
      <c r="C11" s="38">
        <f>COUNTIFS('z_Loi'!$Q:$Q,"&gt;="&amp;$N$4,'z_Loi'!$Q:$Q,"&lt;="&amp;$O$4)</f>
        <v/>
      </c>
      <c r="D11" s="39">
        <f>IFERROR(C11/B11,"")</f>
        <v/>
      </c>
      <c r="E11" s="40">
        <f>IF(ISNUMBER(B11),IF(C11&gt;=B11,"Đạt","Chưa đạt"),"Theo dõi")</f>
        <v/>
      </c>
      <c r="F11" s="41" t="inlineStr">
        <is>
          <t>Theo Ngày phát hiện (05_Lỗi_Tester)</t>
        </is>
      </c>
    </row>
    <row r="12" ht="19" customHeight="1">
      <c r="A12" s="28" t="inlineStr">
        <is>
          <t>II. HOÀN THIỆN WEBSITE</t>
        </is>
      </c>
      <c r="B12" s="29" t="n"/>
      <c r="C12" s="29" t="n"/>
      <c r="D12" s="29" t="n"/>
      <c r="E12" s="29" t="n"/>
      <c r="F12" s="29" t="n"/>
    </row>
    <row r="13">
      <c r="A13" s="30" t="inlineStr">
        <is>
          <t>1. Lỗi đã xử lý (lũy kế)</t>
        </is>
      </c>
      <c r="B13" s="31">
        <f>IFERROR(INDEX('04_Mục_tiêu'!$B$5:$L$16,MATCH($B$4,'04_Mục_tiêu'!$A$5:$A$16,0),5),"")</f>
        <v/>
      </c>
      <c r="C13" s="32">
        <f>(COUNTIF('z_Loi'!$U:$U,"Fixed")+COUNTIF('z_Loi'!$U:$U,"Verified")+COUNTIF('z_Loi'!$U:$U,"Closed"))</f>
        <v/>
      </c>
      <c r="D13" s="33">
        <f>IFERROR(C13/B13,"")</f>
        <v/>
      </c>
      <c r="E13" s="34">
        <f>IF(ISNUMBER(B13),IF(C13&gt;=B13,"Đạt","Chưa đạt"),"Theo dõi")</f>
        <v/>
      </c>
      <c r="F13" s="35" t="inlineStr">
        <is>
          <t>Fixed + Verified + Closed</t>
        </is>
      </c>
    </row>
    <row r="14">
      <c r="A14" s="36" t="inlineStr">
        <is>
          <t>2. Số Trang đã xử lý</t>
        </is>
      </c>
      <c r="B14" s="37">
        <f>IFERROR(INDEX('04_Mục_tiêu'!$B$5:$L$16,MATCH($B$4,'04_Mục_tiêu'!$A$5:$A$16,0),6),"")</f>
        <v/>
      </c>
      <c r="C14" s="38">
        <f>'z_Trang'!$B$1-'z_Trang'!$L$1</f>
        <v/>
      </c>
      <c r="D14" s="39">
        <f>IFERROR(C14/B14,"")</f>
        <v/>
      </c>
      <c r="E14" s="40">
        <f>IF(ISNUMBER(B14),IF(C14&gt;=B14,"Đạt","Chưa đạt"),"Theo dõi")</f>
        <v/>
      </c>
      <c r="F14" s="41" t="inlineStr">
        <is>
          <t>Đã kiểm thử = Tổng − Chưa kiểm tra</t>
        </is>
      </c>
    </row>
    <row r="15">
      <c r="A15" s="30" t="inlineStr">
        <is>
          <t>3. Số Tính năng đã xử lý</t>
        </is>
      </c>
      <c r="B15" s="31">
        <f>IFERROR(INDEX('04_Mục_tiêu'!$B$5:$L$16,MATCH($B$4,'04_Mục_tiêu'!$A$5:$A$16,0),7),"")</f>
        <v/>
      </c>
      <c r="C15" s="32">
        <f>'z_TinhNang'!$B$1-'z_TinhNang'!$L$1</f>
        <v/>
      </c>
      <c r="D15" s="33">
        <f>IFERROR(C15/B15,"")</f>
        <v/>
      </c>
      <c r="E15" s="34">
        <f>IF(ISNUMBER(B15),IF(C15&gt;=B15,"Đạt","Chưa đạt"),"Theo dõi")</f>
        <v/>
      </c>
      <c r="F15" s="35" t="inlineStr">
        <is>
          <t>Đã kiểm thử = Tổng − Chưa kiểm tra</t>
        </is>
      </c>
    </row>
    <row r="16" ht="19" customHeight="1">
      <c r="A16" s="28" t="inlineStr">
        <is>
          <t>III. DATABASE (trong tháng)</t>
        </is>
      </c>
      <c r="B16" s="29" t="n"/>
      <c r="C16" s="29" t="n"/>
      <c r="D16" s="29" t="n"/>
      <c r="E16" s="29" t="n"/>
      <c r="F16" s="29" t="n"/>
    </row>
    <row r="17">
      <c r="A17" s="30" t="inlineStr">
        <is>
          <t>1. DB Doanh nghiệp đã thêm</t>
        </is>
      </c>
      <c r="B17" s="31">
        <f>IFERROR(INDEX('04_Mục_tiêu'!$B$5:$L$16,MATCH($B$4,'04_Mục_tiêu'!$A$5:$A$16,0),8),"")</f>
        <v/>
      </c>
      <c r="C17" s="32">
        <f>COUNTIFS('z_DB_DN'!$K:$K,"&gt;="&amp;$N$4,'z_DB_DN'!$K:$K,"&lt;="&amp;$O$4)</f>
        <v/>
      </c>
      <c r="D17" s="33">
        <f>IFERROR(C17/B17,"")</f>
        <v/>
      </c>
      <c r="E17" s="34">
        <f>IF(ISNUMBER(B17),IF(C17&gt;=B17,"Đạt","Chưa đạt"),"Theo dõi")</f>
        <v/>
      </c>
      <c r="F17" s="35" t="inlineStr">
        <is>
          <t>Theo Ngày Đăng/Tạo</t>
        </is>
      </c>
    </row>
    <row r="18">
      <c r="A18" s="36" t="inlineStr">
        <is>
          <t>2. DB HR đã thêm</t>
        </is>
      </c>
      <c r="B18" s="37">
        <f>IFERROR(INDEX('04_Mục_tiêu'!$B$5:$L$16,MATCH($B$4,'04_Mục_tiêu'!$A$5:$A$16,0),9),"")</f>
        <v/>
      </c>
      <c r="C18" s="38">
        <f>COUNTIFS('z_DB_HR'!$B:$B,"&gt;="&amp;$N$4,'z_DB_HR'!$B:$B,"&lt;="&amp;$O$4)</f>
        <v/>
      </c>
      <c r="D18" s="39">
        <f>IFERROR(C18/B18,"")</f>
        <v/>
      </c>
      <c r="E18" s="40">
        <f>IF(ISNUMBER(B18),IF(C18&gt;=B18,"Đạt","Chưa đạt"),"Theo dõi")</f>
        <v/>
      </c>
      <c r="F18" s="41" t="inlineStr">
        <is>
          <t>Theo Ngày Đăng/Tạo</t>
        </is>
      </c>
    </row>
    <row r="19">
      <c r="A19" s="30" t="inlineStr">
        <is>
          <t>3. DB Ứng viên đã thêm</t>
        </is>
      </c>
      <c r="B19" s="31">
        <f>IFERROR(INDEX('04_Mục_tiêu'!$B$5:$L$16,MATCH($B$4,'04_Mục_tiêu'!$A$5:$A$16,0),10),"")</f>
        <v/>
      </c>
      <c r="C19" s="32">
        <f>COUNTA('z_DB_UV'!$A:$A)</f>
        <v/>
      </c>
      <c r="D19" s="33">
        <f>IFERROR(C19/B19,"")</f>
        <v/>
      </c>
      <c r="E19" s="34">
        <f>IF(ISNUMBER(B19),IF(C19&gt;=B19,"Đạt","Chưa đạt"),"Theo dõi")</f>
        <v/>
      </c>
      <c r="F19" s="35" t="inlineStr">
        <is>
          <t>Theo tổng (chưa có cột ngày nhập)</t>
        </is>
      </c>
    </row>
    <row r="20">
      <c r="A20" s="36" t="inlineStr">
        <is>
          <t>4. Tin tuyển dụng đã đăng</t>
        </is>
      </c>
      <c r="B20" s="37">
        <f>IFERROR(INDEX('04_Mục_tiêu'!$B$5:$L$16,MATCH($B$4,'04_Mục_tiêu'!$A$5:$A$16,0),11),"")</f>
        <v/>
      </c>
      <c r="C20" s="38">
        <f>COUNTIFS('z_DB_Tin'!$B:$B,"&gt;="&amp;$N$4,'z_DB_Tin'!$B:$B,"&lt;="&amp;$O$4)</f>
        <v/>
      </c>
      <c r="D20" s="39">
        <f>IFERROR(C20/B20,"")</f>
        <v/>
      </c>
      <c r="E20" s="40">
        <f>IF(ISNUMBER(B20),IF(C20&gt;=B20,"Đạt","Chưa đạt"),"Theo dõi")</f>
        <v/>
      </c>
      <c r="F20" s="41" t="inlineStr">
        <is>
          <t>Theo Ngày viết</t>
        </is>
      </c>
    </row>
    <row r="22" ht="22" customHeight="1">
      <c r="A22" s="11" t="inlineStr">
        <is>
          <t>TỔNG QUAN HIỆN TẠI (thời điểm xem)</t>
        </is>
      </c>
      <c r="B22" s="7" t="n"/>
      <c r="C22" s="7" t="n"/>
      <c r="D22" s="7" t="n"/>
      <c r="E22" s="7" t="n"/>
      <c r="F22" s="7" t="n"/>
    </row>
    <row r="23">
      <c r="A23" s="42" t="inlineStr">
        <is>
          <t>Chỉ số</t>
        </is>
      </c>
      <c r="B23" s="43" t="inlineStr">
        <is>
          <t>Số lượng</t>
        </is>
      </c>
      <c r="C23" s="43" t="inlineStr">
        <is>
          <t>Tổng</t>
        </is>
      </c>
      <c r="D23" s="43" t="inlineStr">
        <is>
          <t>Tỷ lệ</t>
        </is>
      </c>
    </row>
    <row r="24" ht="19" customHeight="1">
      <c r="A24" s="28" t="inlineStr">
        <is>
          <t>I. KIỂM TRA WEBSITE</t>
        </is>
      </c>
      <c r="B24" s="29" t="n"/>
      <c r="C24" s="29" t="n"/>
      <c r="D24" s="29" t="n"/>
      <c r="E24" s="29" t="n"/>
      <c r="F24" s="29" t="n"/>
    </row>
    <row r="25">
      <c r="A25" s="44" t="inlineStr">
        <is>
          <t>Trang hoàn thành</t>
        </is>
      </c>
      <c r="B25" s="45">
        <f>'z_Trang'!$D$1</f>
        <v/>
      </c>
      <c r="C25" s="46">
        <f>'z_Trang'!$B$1</f>
        <v/>
      </c>
      <c r="D25" s="47">
        <f>'z_Trang'!$F$1</f>
        <v/>
      </c>
    </row>
    <row r="26">
      <c r="A26" s="48" t="inlineStr">
        <is>
          <t>Trang đang kiểm tra</t>
        </is>
      </c>
      <c r="B26" s="38">
        <f>'z_Trang'!$H$1</f>
        <v/>
      </c>
      <c r="C26" s="49">
        <f>'z_Trang'!$B$1</f>
        <v/>
      </c>
      <c r="D26" s="50">
        <f>'z_Trang'!$H$1/'z_Trang'!$B$1</f>
        <v/>
      </c>
    </row>
    <row r="27">
      <c r="A27" s="51" t="inlineStr">
        <is>
          <t>Trang cần kiểm tra lại</t>
        </is>
      </c>
      <c r="B27" s="32">
        <f>'z_Trang'!$J$1</f>
        <v/>
      </c>
      <c r="C27" s="52">
        <f>'z_Trang'!$B$1</f>
        <v/>
      </c>
      <c r="D27" s="53">
        <f>'z_Trang'!$J$1/'z_Trang'!$B$1</f>
        <v/>
      </c>
    </row>
    <row r="28">
      <c r="A28" s="48" t="inlineStr">
        <is>
          <t>Trang chưa kiểm tra</t>
        </is>
      </c>
      <c r="B28" s="38">
        <f>'z_Trang'!$L$1</f>
        <v/>
      </c>
      <c r="C28" s="49">
        <f>'z_Trang'!$B$1</f>
        <v/>
      </c>
      <c r="D28" s="50">
        <f>'z_Trang'!$L$1/'z_Trang'!$B$1</f>
        <v/>
      </c>
    </row>
    <row r="29">
      <c r="A29" s="44" t="inlineStr">
        <is>
          <t>Tính năng hoàn thành</t>
        </is>
      </c>
      <c r="B29" s="45">
        <f>'z_TinhNang'!$D$1</f>
        <v/>
      </c>
      <c r="C29" s="46">
        <f>'z_TinhNang'!$B$1</f>
        <v/>
      </c>
      <c r="D29" s="47">
        <f>'z_TinhNang'!$F$1</f>
        <v/>
      </c>
    </row>
    <row r="30">
      <c r="A30" s="48" t="inlineStr">
        <is>
          <t>Tính năng cần kiểm tra lại</t>
        </is>
      </c>
      <c r="B30" s="38">
        <f>'z_TinhNang'!$J$1</f>
        <v/>
      </c>
      <c r="C30" s="49">
        <f>'z_TinhNang'!$B$1</f>
        <v/>
      </c>
      <c r="D30" s="50">
        <f>'z_TinhNang'!$J$1/'z_TinhNang'!$B$1</f>
        <v/>
      </c>
    </row>
    <row r="31">
      <c r="A31" s="51" t="inlineStr">
        <is>
          <t>Tính năng chưa kiểm tra</t>
        </is>
      </c>
      <c r="B31" s="32">
        <f>'z_TinhNang'!$L$1</f>
        <v/>
      </c>
      <c r="C31" s="52">
        <f>'z_TinhNang'!$B$1</f>
        <v/>
      </c>
      <c r="D31" s="53">
        <f>'z_TinhNang'!$L$1/'z_TinhNang'!$B$1</f>
        <v/>
      </c>
    </row>
    <row r="32">
      <c r="A32" s="48" t="inlineStr">
        <is>
          <t>Tổng lỗi ghi nhận</t>
        </is>
      </c>
      <c r="B32" s="38">
        <f>COUNTA('z_Loi'!$E:$E)-1</f>
        <v/>
      </c>
      <c r="C32" s="54" t="n"/>
      <c r="D32" s="40" t="n"/>
    </row>
    <row r="33">
      <c r="A33" s="55" t="inlineStr">
        <is>
          <t>Lỗi đang mở (Open + Chưa gửi Dev)</t>
        </is>
      </c>
      <c r="B33" s="56">
        <f>(COUNTIF('z_Loi'!$U:$U,"Open")+COUNTIF('z_Loi'!$U:$U,"Chưa gửi Dev"))</f>
        <v/>
      </c>
      <c r="C33" s="57" t="n"/>
      <c r="D33" s="58" t="n"/>
    </row>
    <row r="34">
      <c r="A34" s="55" t="inlineStr">
        <is>
          <t>Lỗi Critical/High đang mở</t>
        </is>
      </c>
      <c r="B34" s="56">
        <f>(COUNTIFS('z_Loi'!$U:$U,"Open",'z_Loi'!$L:$L,"Critical")+COUNTIFS('z_Loi'!$U:$U,"Open",'z_Loi'!$L:$L,"High")+COUNTIFS('z_Loi'!$U:$U,"Chưa gửi Dev",'z_Loi'!$L:$L,"Critical")+COUNTIFS('z_Loi'!$U:$U,"Chưa gửi Dev",'z_Loi'!$L:$L,"High"))</f>
        <v/>
      </c>
      <c r="C34" s="57" t="n"/>
      <c r="D34" s="58" t="n"/>
    </row>
    <row r="35" ht="19" customHeight="1">
      <c r="A35" s="28" t="inlineStr">
        <is>
          <t>II. DATABASE (tổng đã thêm)</t>
        </is>
      </c>
      <c r="B35" s="29" t="n"/>
      <c r="C35" s="29" t="n"/>
      <c r="D35" s="29" t="n"/>
      <c r="E35" s="29" t="n"/>
      <c r="F35" s="29" t="n"/>
    </row>
    <row r="36">
      <c r="A36" s="51" t="inlineStr">
        <is>
          <t>DB Doanh nghiệp</t>
        </is>
      </c>
      <c r="B36" s="32">
        <f>COUNTA('z_DB_DN'!$A:$A)</f>
        <v/>
      </c>
      <c r="C36" s="59" t="n"/>
      <c r="D36" s="34" t="n"/>
    </row>
    <row r="37">
      <c r="A37" s="48" t="inlineStr">
        <is>
          <t>DB HR</t>
        </is>
      </c>
      <c r="B37" s="38">
        <f>COUNTA('z_DB_HR'!$A:$A)</f>
        <v/>
      </c>
      <c r="C37" s="54" t="n"/>
      <c r="D37" s="40" t="n"/>
    </row>
    <row r="38">
      <c r="A38" s="51" t="inlineStr">
        <is>
          <t>DB Ứng viên</t>
        </is>
      </c>
      <c r="B38" s="32">
        <f>COUNTA('z_DB_UV'!$A:$A)</f>
        <v/>
      </c>
      <c r="C38" s="59" t="n"/>
      <c r="D38" s="34" t="n"/>
    </row>
    <row r="39">
      <c r="A39" s="48" t="inlineStr">
        <is>
          <t>Tin tuyển dụng đã đăng</t>
        </is>
      </c>
      <c r="B39" s="38">
        <f>COUNTA('z_DB_Tin'!$A:$A)</f>
        <v/>
      </c>
      <c r="C39" s="54" t="n"/>
      <c r="D39" s="40" t="n"/>
    </row>
    <row r="41" ht="22" customHeight="1">
      <c r="A41" s="11" t="inlineStr">
        <is>
          <t>TÌNH TRẠNG XỬ LÝ LỖI (toàn bộ)</t>
        </is>
      </c>
      <c r="B41" s="7" t="n"/>
      <c r="C41" s="7" t="n"/>
      <c r="D41" s="7" t="n"/>
      <c r="E41" s="7" t="n"/>
      <c r="F41" s="7" t="n"/>
    </row>
    <row r="42">
      <c r="A42" s="42" t="inlineStr">
        <is>
          <t>Trạng thái</t>
        </is>
      </c>
      <c r="B42" s="43" t="inlineStr">
        <is>
          <t>Số lỗi</t>
        </is>
      </c>
      <c r="C42" s="42" t="inlineStr">
        <is>
          <t>Ý nghĩa</t>
        </is>
      </c>
      <c r="D42" s="60" t="n"/>
      <c r="E42" s="60" t="n"/>
      <c r="F42" s="60" t="n"/>
    </row>
    <row r="43">
      <c r="A43" s="61" t="inlineStr">
        <is>
          <t>Open</t>
        </is>
      </c>
      <c r="B43" s="32">
        <f>COUNTIF('z_Loi'!$U:$U,"Open")</f>
        <v/>
      </c>
      <c r="C43" s="62" t="inlineStr">
        <is>
          <t>Lỗi đang mở, đã ghi nhận</t>
        </is>
      </c>
      <c r="D43" s="63" t="n"/>
      <c r="E43" s="63" t="n"/>
      <c r="F43" s="63" t="n"/>
    </row>
    <row r="44">
      <c r="A44" s="64" t="inlineStr">
        <is>
          <t>Chưa gửi Dev</t>
        </is>
      </c>
      <c r="B44" s="38">
        <f>COUNTIF('z_Loi'!$U:$U,"Chưa gửi Dev")</f>
        <v/>
      </c>
      <c r="C44" s="65" t="inlineStr">
        <is>
          <t>Chưa chuyển Dev xử lý</t>
        </is>
      </c>
      <c r="D44" s="66" t="n"/>
      <c r="E44" s="66" t="n"/>
      <c r="F44" s="66" t="n"/>
    </row>
    <row r="45">
      <c r="A45" s="67" t="inlineStr">
        <is>
          <t>Fixed</t>
        </is>
      </c>
      <c r="B45" s="32">
        <f>COUNTIF('z_Loi'!$U:$U,"Fixed")</f>
        <v/>
      </c>
      <c r="C45" s="62" t="inlineStr">
        <is>
          <t>Dev báo đã sửa</t>
        </is>
      </c>
      <c r="D45" s="63" t="n"/>
      <c r="E45" s="63" t="n"/>
      <c r="F45" s="63" t="n"/>
    </row>
    <row r="46">
      <c r="A46" s="68" t="inlineStr">
        <is>
          <t>Verified</t>
        </is>
      </c>
      <c r="B46" s="38">
        <f>COUNTIF('z_Loi'!$U:$U,"Verified")</f>
        <v/>
      </c>
      <c r="C46" s="65" t="inlineStr">
        <is>
          <t>Đã retest đạt</t>
        </is>
      </c>
      <c r="D46" s="66" t="n"/>
      <c r="E46" s="66" t="n"/>
      <c r="F46" s="66" t="n"/>
    </row>
    <row r="47">
      <c r="A47" s="69" t="inlineStr">
        <is>
          <t>Closed</t>
        </is>
      </c>
      <c r="B47" s="32">
        <f>COUNTIF('z_Loi'!$U:$U,"Closed")</f>
        <v/>
      </c>
      <c r="C47" s="62" t="inlineStr">
        <is>
          <t>Đã đóng</t>
        </is>
      </c>
      <c r="D47" s="63" t="n"/>
      <c r="E47" s="63" t="n"/>
      <c r="F47" s="63" t="n"/>
    </row>
    <row r="48">
      <c r="A48" s="70" t="inlineStr">
        <is>
          <t>Deferred</t>
        </is>
      </c>
      <c r="B48" s="38">
        <f>COUNTIF('z_Loi'!$U:$U,"Deferred")</f>
        <v/>
      </c>
      <c r="C48" s="65" t="inlineStr">
        <is>
          <t>Tạm hoãn / không sửa</t>
        </is>
      </c>
      <c r="D48" s="66" t="n"/>
      <c r="E48" s="66" t="n"/>
      <c r="F48" s="66" t="n"/>
    </row>
    <row r="50" ht="22" customHeight="1">
      <c r="A50" s="11" t="inlineStr">
        <is>
          <t>PHÂN BỐ LỖI PHÁT HIỆN TRONG THÁNG</t>
        </is>
      </c>
      <c r="B50" s="7" t="n"/>
      <c r="C50" s="7" t="n"/>
      <c r="D50" s="7" t="n"/>
      <c r="E50" s="7" t="n"/>
      <c r="F50" s="7" t="n"/>
    </row>
    <row r="51">
      <c r="A51" s="42" t="inlineStr">
        <is>
          <t>Theo mức độ</t>
        </is>
      </c>
      <c r="B51" s="43" t="inlineStr">
        <is>
          <t>Số lỗi</t>
        </is>
      </c>
      <c r="D51" s="42" t="inlineStr">
        <is>
          <t>Theo thiết bị</t>
        </is>
      </c>
      <c r="E51" s="43" t="inlineStr">
        <is>
          <t>Số lỗi</t>
        </is>
      </c>
    </row>
    <row r="52">
      <c r="A52" s="61" t="inlineStr">
        <is>
          <t>Critical</t>
        </is>
      </c>
      <c r="B52" s="32">
        <f>COUNTIFS('z_Loi'!$Q:$Q,"&gt;="&amp;$N$4,'z_Loi'!$Q:$Q,"&lt;="&amp;$O$4,'z_Loi'!$L:$L,"Critical")</f>
        <v/>
      </c>
      <c r="D52" s="51" t="inlineStr">
        <is>
          <t>Desktop</t>
        </is>
      </c>
      <c r="E52" s="32">
        <f>COUNTIFS('z_Loi'!$Q:$Q,"&gt;="&amp;$N$4,'z_Loi'!$Q:$Q,"&lt;="&amp;$O$4,'z_Loi'!$M:$M,"*Desktop*")</f>
        <v/>
      </c>
    </row>
    <row r="53">
      <c r="A53" s="71" t="inlineStr">
        <is>
          <t>High</t>
        </is>
      </c>
      <c r="B53" s="38">
        <f>COUNTIFS('z_Loi'!$Q:$Q,"&gt;="&amp;$N$4,'z_Loi'!$Q:$Q,"&lt;="&amp;$O$4,'z_Loi'!$L:$L,"High")</f>
        <v/>
      </c>
      <c r="D53" s="48" t="inlineStr">
        <is>
          <t>Mobile</t>
        </is>
      </c>
      <c r="E53" s="38">
        <f>COUNTIFS('z_Loi'!$Q:$Q,"&gt;="&amp;$N$4,'z_Loi'!$Q:$Q,"&lt;="&amp;$O$4,'z_Loi'!$M:$M,"*Mobile*")</f>
        <v/>
      </c>
    </row>
    <row r="54">
      <c r="A54" s="72" t="inlineStr">
        <is>
          <t>Medium</t>
        </is>
      </c>
      <c r="B54" s="32">
        <f>COUNTIFS('z_Loi'!$Q:$Q,"&gt;="&amp;$N$4,'z_Loi'!$Q:$Q,"&lt;="&amp;$O$4,'z_Loi'!$L:$L,"Medium")</f>
        <v/>
      </c>
      <c r="D54" s="51" t="inlineStr">
        <is>
          <t>Tablet</t>
        </is>
      </c>
      <c r="E54" s="32">
        <f>COUNTIFS('z_Loi'!$Q:$Q,"&gt;="&amp;$N$4,'z_Loi'!$Q:$Q,"&lt;="&amp;$O$4,'z_Loi'!$M:$M,"*Tablet*")</f>
        <v/>
      </c>
    </row>
    <row r="55">
      <c r="A55" s="68" t="inlineStr">
        <is>
          <t>Low</t>
        </is>
      </c>
      <c r="B55" s="38">
        <f>COUNTIFS('z_Loi'!$Q:$Q,"&gt;="&amp;$N$4,'z_Loi'!$Q:$Q,"&lt;="&amp;$O$4,'z_Loi'!$L:$L,"Low")</f>
        <v/>
      </c>
    </row>
    <row r="57">
      <c r="A57" s="73" t="inlineStr">
        <is>
          <t>THANH TIẾN ĐỘ HOÀN THÀNH</t>
        </is>
      </c>
      <c r="B57" s="60" t="n"/>
      <c r="C57" s="60" t="n"/>
      <c r="D57" s="60" t="n"/>
      <c r="E57" s="60" t="n"/>
      <c r="F57" s="60" t="n"/>
    </row>
    <row r="58">
      <c r="A58" s="74" t="inlineStr">
        <is>
          <t>Trang</t>
        </is>
      </c>
      <c r="B58" s="75">
        <f>REPT("█",ROUND('z_Trang'!$F$1*30,0))&amp;" "&amp;TEXT('z_Trang'!$F$1,"0.0%")</f>
        <v/>
      </c>
      <c r="C58" s="63" t="n"/>
      <c r="D58" s="63" t="n"/>
      <c r="E58" s="63" t="n"/>
      <c r="F58" s="63" t="n"/>
    </row>
    <row r="59">
      <c r="A59" s="76" t="inlineStr">
        <is>
          <t>Tính năng</t>
        </is>
      </c>
      <c r="B59" s="77">
        <f>REPT("█",ROUND('z_TinhNang'!$F$1*30,0))&amp;" "&amp;TEXT('z_TinhNang'!$F$1,"0.0%")</f>
        <v/>
      </c>
      <c r="C59" s="66" t="n"/>
      <c r="D59" s="66" t="n"/>
      <c r="E59" s="66" t="n"/>
      <c r="F59" s="66" t="n"/>
    </row>
    <row r="61" ht="22" customHeight="1">
      <c r="A61" s="11" t="inlineStr">
        <is>
          <t>CHI TIẾT: TRANG &amp; TÍNH NĂNG ĐÃ TEST TRONG THÁNG</t>
        </is>
      </c>
      <c r="B61" s="7" t="n"/>
      <c r="C61" s="7" t="n"/>
      <c r="D61" s="7" t="n"/>
      <c r="E61" s="7" t="n"/>
      <c r="F61" s="7" t="n"/>
      <c r="G61" s="7" t="n"/>
      <c r="H61" s="7" t="n"/>
    </row>
    <row r="62">
      <c r="A62" s="78" t="inlineStr">
        <is>
          <t>Trang/tính năng có Ngày test gần nhất trong kỳ (trạng thái Hoàn thành hoặc Kiểm tra lại).</t>
        </is>
      </c>
      <c r="B62" s="5" t="n"/>
      <c r="C62" s="5" t="n"/>
      <c r="D62" s="5" t="n"/>
      <c r="E62" s="5" t="n"/>
      <c r="F62" s="5" t="n"/>
      <c r="G62" s="5" t="n"/>
      <c r="H62" s="5" t="n"/>
    </row>
    <row r="63">
      <c r="A63" s="42" t="inlineStr">
        <is>
          <t>TRANG đã test trong kỳ</t>
        </is>
      </c>
      <c r="B63" s="43" t="inlineStr">
        <is>
          <t>Số lỗi</t>
        </is>
      </c>
      <c r="C63" s="43" t="inlineStr">
        <is>
          <t>Trạng thái</t>
        </is>
      </c>
      <c r="F63" s="42" t="inlineStr">
        <is>
          <t>TÍNH NĂNG đã test trong kỳ</t>
        </is>
      </c>
      <c r="G63" s="43" t="inlineStr">
        <is>
          <t>Số lỗi</t>
        </is>
      </c>
      <c r="H63" s="43" t="inlineStr">
        <is>
          <t>Trạng thái</t>
        </is>
      </c>
    </row>
    <row r="64">
      <c r="A64" s="79">
        <f>IFERROR(QUERY('z_TrangFull'!$A$1:$R$197,"select B, I, E where P &gt;= date '"&amp;TEXT($N$4,"yyyy-mm-dd")&amp;"' and P &lt;= date '"&amp;TEXT($O$4,"yyyy-mm-dd")&amp;"' and (E = 'Hoàn thành' or E = 'Kiểm tra lại') order by I desc label B '', I '', E '' format I '#,##0'",1),"(không có trang test trong kỳ)")</f>
        <v/>
      </c>
      <c r="B64" s="80" t="n"/>
      <c r="C64" s="14" t="n"/>
      <c r="F64" s="79">
        <f>IFERROR(QUERY('z_TNFull'!$A$1:$T$197,"select B, K, J where R &gt;= date '"&amp;TEXT($N$4,"yyyy-mm-dd")&amp;"' and R &lt;= date '"&amp;TEXT($O$4,"yyyy-mm-dd")&amp;"' and (J = 'Hoàn thành' or J = 'Kiểm tra lại') order by K desc label B '', K '', J '' format K '#,##0'",1),"(không có tính năng test trong kỳ)")</f>
        <v/>
      </c>
      <c r="G64" s="80" t="n"/>
      <c r="H64" s="14" t="n"/>
    </row>
    <row r="65">
      <c r="A65" s="14" t="n"/>
      <c r="B65" s="80" t="n"/>
      <c r="C65" s="14" t="n"/>
      <c r="F65" s="14" t="n"/>
      <c r="G65" s="80" t="n"/>
      <c r="H65" s="14" t="n"/>
    </row>
    <row r="66">
      <c r="A66" s="14" t="n"/>
      <c r="B66" s="80" t="n"/>
      <c r="C66" s="14" t="n"/>
      <c r="F66" s="14" t="n"/>
      <c r="G66" s="80" t="n"/>
      <c r="H66" s="14" t="n"/>
    </row>
    <row r="67">
      <c r="A67" s="14" t="n"/>
      <c r="B67" s="80" t="n"/>
      <c r="C67" s="14" t="n"/>
      <c r="F67" s="14" t="n"/>
      <c r="G67" s="80" t="n"/>
      <c r="H67" s="14" t="n"/>
    </row>
    <row r="68">
      <c r="A68" s="14" t="n"/>
      <c r="B68" s="80" t="n"/>
      <c r="C68" s="14" t="n"/>
      <c r="F68" s="14" t="n"/>
      <c r="G68" s="80" t="n"/>
      <c r="H68" s="14" t="n"/>
    </row>
    <row r="69">
      <c r="A69" s="14" t="n"/>
      <c r="B69" s="80" t="n"/>
      <c r="C69" s="14" t="n"/>
      <c r="F69" s="14" t="n"/>
      <c r="G69" s="80" t="n"/>
      <c r="H69" s="14" t="n"/>
    </row>
    <row r="70">
      <c r="A70" s="14" t="n"/>
      <c r="B70" s="80" t="n"/>
      <c r="C70" s="14" t="n"/>
      <c r="F70" s="14" t="n"/>
      <c r="G70" s="80" t="n"/>
      <c r="H70" s="14" t="n"/>
    </row>
    <row r="71">
      <c r="A71" s="14" t="n"/>
      <c r="B71" s="80" t="n"/>
      <c r="C71" s="14" t="n"/>
      <c r="F71" s="14" t="n"/>
      <c r="G71" s="80" t="n"/>
      <c r="H71" s="14" t="n"/>
    </row>
    <row r="72">
      <c r="A72" s="14" t="n"/>
      <c r="B72" s="80" t="n"/>
      <c r="C72" s="14" t="n"/>
      <c r="F72" s="14" t="n"/>
      <c r="G72" s="80" t="n"/>
      <c r="H72" s="14" t="n"/>
    </row>
    <row r="73">
      <c r="A73" s="14" t="n"/>
      <c r="B73" s="80" t="n"/>
      <c r="C73" s="14" t="n"/>
      <c r="F73" s="14" t="n"/>
      <c r="G73" s="80" t="n"/>
      <c r="H73" s="14" t="n"/>
    </row>
    <row r="74">
      <c r="A74" s="14" t="n"/>
      <c r="B74" s="80" t="n"/>
      <c r="C74" s="14" t="n"/>
      <c r="F74" s="14" t="n"/>
      <c r="G74" s="80" t="n"/>
      <c r="H74" s="14" t="n"/>
    </row>
    <row r="75">
      <c r="A75" s="14" t="n"/>
      <c r="B75" s="80" t="n"/>
      <c r="C75" s="14" t="n"/>
      <c r="F75" s="14" t="n"/>
      <c r="G75" s="80" t="n"/>
      <c r="H75" s="14" t="n"/>
    </row>
    <row r="76">
      <c r="A76" s="14" t="n"/>
      <c r="B76" s="80" t="n"/>
      <c r="C76" s="14" t="n"/>
      <c r="F76" s="14" t="n"/>
      <c r="G76" s="80" t="n"/>
      <c r="H76" s="14" t="n"/>
    </row>
    <row r="77">
      <c r="A77" s="14" t="n"/>
      <c r="B77" s="80" t="n"/>
      <c r="C77" s="14" t="n"/>
      <c r="F77" s="14" t="n"/>
      <c r="G77" s="80" t="n"/>
      <c r="H77" s="14" t="n"/>
    </row>
    <row r="78">
      <c r="A78" s="14" t="n"/>
      <c r="B78" s="80" t="n"/>
      <c r="C78" s="14" t="n"/>
      <c r="F78" s="14" t="n"/>
      <c r="G78" s="80" t="n"/>
      <c r="H78" s="14" t="n"/>
    </row>
    <row r="79">
      <c r="A79" s="14" t="n"/>
      <c r="B79" s="80" t="n"/>
      <c r="C79" s="14" t="n"/>
      <c r="F79" s="14" t="n"/>
      <c r="G79" s="80" t="n"/>
      <c r="H79" s="14" t="n"/>
    </row>
    <row r="80">
      <c r="A80" s="14" t="n"/>
      <c r="B80" s="80" t="n"/>
      <c r="C80" s="14" t="n"/>
      <c r="F80" s="14" t="n"/>
      <c r="G80" s="80" t="n"/>
      <c r="H80" s="14" t="n"/>
    </row>
    <row r="81">
      <c r="A81" s="14" t="n"/>
      <c r="B81" s="80" t="n"/>
      <c r="C81" s="14" t="n"/>
      <c r="F81" s="14" t="n"/>
      <c r="G81" s="80" t="n"/>
      <c r="H81" s="14" t="n"/>
    </row>
    <row r="82">
      <c r="A82" s="14" t="n"/>
      <c r="B82" s="80" t="n"/>
      <c r="C82" s="14" t="n"/>
      <c r="F82" s="14" t="n"/>
      <c r="G82" s="80" t="n"/>
      <c r="H82" s="14" t="n"/>
    </row>
    <row r="83">
      <c r="A83" s="14" t="n"/>
      <c r="B83" s="80" t="n"/>
      <c r="C83" s="14" t="n"/>
      <c r="F83" s="14" t="n"/>
      <c r="G83" s="80" t="n"/>
      <c r="H83" s="14" t="n"/>
    </row>
    <row r="84">
      <c r="A84" s="14" t="n"/>
      <c r="B84" s="80" t="n"/>
      <c r="C84" s="14" t="n"/>
      <c r="F84" s="14" t="n"/>
      <c r="G84" s="80" t="n"/>
      <c r="H84" s="14" t="n"/>
    </row>
    <row r="85">
      <c r="A85" s="14" t="n"/>
      <c r="B85" s="80" t="n"/>
      <c r="C85" s="14" t="n"/>
      <c r="F85" s="14" t="n"/>
      <c r="G85" s="80" t="n"/>
      <c r="H85" s="14" t="n"/>
    </row>
    <row r="86">
      <c r="A86" s="14" t="n"/>
      <c r="B86" s="80" t="n"/>
      <c r="C86" s="14" t="n"/>
      <c r="F86" s="14" t="n"/>
      <c r="G86" s="80" t="n"/>
      <c r="H86" s="14" t="n"/>
    </row>
    <row r="87">
      <c r="A87" s="14" t="n"/>
      <c r="B87" s="80" t="n"/>
      <c r="C87" s="14" t="n"/>
      <c r="F87" s="14" t="n"/>
      <c r="G87" s="80" t="n"/>
      <c r="H87" s="14" t="n"/>
    </row>
    <row r="88">
      <c r="A88" s="14" t="n"/>
      <c r="B88" s="80" t="n"/>
      <c r="C88" s="14" t="n"/>
      <c r="F88" s="14" t="n"/>
      <c r="G88" s="80" t="n"/>
      <c r="H88" s="14" t="n"/>
    </row>
    <row r="89">
      <c r="A89" s="14" t="n"/>
      <c r="B89" s="80" t="n"/>
      <c r="C89" s="14" t="n"/>
      <c r="F89" s="14" t="n"/>
      <c r="G89" s="80" t="n"/>
      <c r="H89" s="14" t="n"/>
    </row>
    <row r="90">
      <c r="A90" s="14" t="n"/>
      <c r="B90" s="80" t="n"/>
      <c r="C90" s="14" t="n"/>
      <c r="F90" s="14" t="n"/>
      <c r="G90" s="80" t="n"/>
      <c r="H90" s="14" t="n"/>
    </row>
    <row r="91">
      <c r="A91" s="14" t="n"/>
      <c r="B91" s="80" t="n"/>
      <c r="C91" s="14" t="n"/>
      <c r="F91" s="14" t="n"/>
      <c r="G91" s="80" t="n"/>
      <c r="H91" s="14" t="n"/>
    </row>
    <row r="92">
      <c r="A92" s="14" t="n"/>
      <c r="B92" s="80" t="n"/>
      <c r="C92" s="14" t="n"/>
      <c r="F92" s="14" t="n"/>
      <c r="G92" s="80" t="n"/>
      <c r="H92" s="14" t="n"/>
    </row>
    <row r="93">
      <c r="A93" s="14" t="n"/>
      <c r="B93" s="80" t="n"/>
      <c r="C93" s="14" t="n"/>
      <c r="F93" s="14" t="n"/>
      <c r="G93" s="80" t="n"/>
      <c r="H93" s="14" t="n"/>
    </row>
    <row r="94">
      <c r="A94" s="14" t="n"/>
      <c r="B94" s="80" t="n"/>
      <c r="C94" s="14" t="n"/>
      <c r="F94" s="14" t="n"/>
      <c r="G94" s="80" t="n"/>
      <c r="H94" s="14" t="n"/>
    </row>
    <row r="95">
      <c r="A95" s="14" t="n"/>
      <c r="B95" s="80" t="n"/>
      <c r="C95" s="14" t="n"/>
      <c r="F95" s="14" t="n"/>
      <c r="G95" s="80" t="n"/>
      <c r="H95" s="14" t="n"/>
    </row>
    <row r="96">
      <c r="A96" s="14" t="n"/>
      <c r="B96" s="80" t="n"/>
      <c r="C96" s="14" t="n"/>
      <c r="F96" s="14" t="n"/>
      <c r="G96" s="80" t="n"/>
      <c r="H96" s="14" t="n"/>
    </row>
    <row r="97">
      <c r="A97" s="14" t="n"/>
      <c r="B97" s="80" t="n"/>
      <c r="C97" s="14" t="n"/>
      <c r="F97" s="14" t="n"/>
      <c r="G97" s="80" t="n"/>
      <c r="H97" s="14" t="n"/>
    </row>
    <row r="98">
      <c r="A98" s="14" t="n"/>
      <c r="B98" s="80" t="n"/>
      <c r="C98" s="14" t="n"/>
      <c r="F98" s="14" t="n"/>
      <c r="G98" s="80" t="n"/>
      <c r="H98" s="14" t="n"/>
    </row>
    <row r="99">
      <c r="A99" s="14" t="n"/>
      <c r="B99" s="80" t="n"/>
      <c r="C99" s="14" t="n"/>
      <c r="F99" s="14" t="n"/>
      <c r="G99" s="80" t="n"/>
      <c r="H99" s="14" t="n"/>
    </row>
    <row r="100">
      <c r="A100" s="14" t="n"/>
      <c r="B100" s="80" t="n"/>
      <c r="C100" s="14" t="n"/>
      <c r="F100" s="14" t="n"/>
      <c r="G100" s="80" t="n"/>
      <c r="H100" s="14" t="n"/>
    </row>
    <row r="101">
      <c r="A101" s="14" t="n"/>
      <c r="B101" s="80" t="n"/>
      <c r="C101" s="14" t="n"/>
      <c r="F101" s="14" t="n"/>
      <c r="G101" s="80" t="n"/>
      <c r="H101" s="14" t="n"/>
    </row>
    <row r="102">
      <c r="A102" s="14" t="n"/>
      <c r="B102" s="80" t="n"/>
      <c r="C102" s="14" t="n"/>
      <c r="F102" s="14" t="n"/>
      <c r="G102" s="80" t="n"/>
      <c r="H102" s="14" t="n"/>
    </row>
    <row r="103">
      <c r="A103" s="14" t="n"/>
      <c r="B103" s="80" t="n"/>
      <c r="C103" s="14" t="n"/>
      <c r="F103" s="14" t="n"/>
      <c r="G103" s="80" t="n"/>
      <c r="H103" s="14" t="n"/>
    </row>
    <row r="104">
      <c r="A104" s="14" t="n"/>
      <c r="B104" s="80" t="n"/>
      <c r="C104" s="14" t="n"/>
      <c r="F104" s="14" t="n"/>
      <c r="G104" s="80" t="n"/>
      <c r="H104" s="14" t="n"/>
    </row>
    <row r="105">
      <c r="A105" s="14" t="n"/>
      <c r="B105" s="80" t="n"/>
      <c r="C105" s="14" t="n"/>
      <c r="F105" s="14" t="n"/>
      <c r="G105" s="80" t="n"/>
      <c r="H105" s="14" t="n"/>
    </row>
    <row r="106">
      <c r="A106" s="14" t="n"/>
      <c r="B106" s="80" t="n"/>
      <c r="C106" s="14" t="n"/>
      <c r="F106" s="14" t="n"/>
      <c r="G106" s="80" t="n"/>
      <c r="H106" s="14" t="n"/>
    </row>
    <row r="107">
      <c r="A107" s="14" t="n"/>
      <c r="B107" s="80" t="n"/>
      <c r="C107" s="14" t="n"/>
      <c r="F107" s="14" t="n"/>
      <c r="G107" s="80" t="n"/>
      <c r="H107" s="14" t="n"/>
    </row>
    <row r="108">
      <c r="A108" s="14" t="n"/>
      <c r="B108" s="80" t="n"/>
      <c r="C108" s="14" t="n"/>
      <c r="F108" s="14" t="n"/>
      <c r="G108" s="80" t="n"/>
      <c r="H108" s="14" t="n"/>
    </row>
    <row r="109">
      <c r="A109" s="14" t="n"/>
      <c r="B109" s="80" t="n"/>
      <c r="C109" s="14" t="n"/>
      <c r="F109" s="14" t="n"/>
      <c r="G109" s="80" t="n"/>
      <c r="H109" s="14" t="n"/>
    </row>
    <row r="110">
      <c r="A110" s="14" t="n"/>
      <c r="B110" s="80" t="n"/>
      <c r="C110" s="14" t="n"/>
      <c r="F110" s="14" t="n"/>
      <c r="G110" s="80" t="n"/>
      <c r="H110" s="14" t="n"/>
    </row>
    <row r="111">
      <c r="A111" s="14" t="n"/>
      <c r="B111" s="80" t="n"/>
      <c r="C111" s="14" t="n"/>
      <c r="F111" s="14" t="n"/>
      <c r="G111" s="80" t="n"/>
      <c r="H111" s="14" t="n"/>
    </row>
    <row r="112">
      <c r="A112" s="14" t="n"/>
      <c r="B112" s="80" t="n"/>
      <c r="C112" s="14" t="n"/>
      <c r="F112" s="14" t="n"/>
      <c r="G112" s="80" t="n"/>
      <c r="H112" s="14" t="n"/>
    </row>
    <row r="113">
      <c r="A113" s="14" t="n"/>
      <c r="B113" s="80" t="n"/>
      <c r="C113" s="14" t="n"/>
      <c r="F113" s="14" t="n"/>
      <c r="G113" s="80" t="n"/>
      <c r="H113" s="14" t="n"/>
    </row>
    <row r="114">
      <c r="A114" s="14" t="n"/>
      <c r="B114" s="80" t="n"/>
      <c r="C114" s="14" t="n"/>
      <c r="F114" s="14" t="n"/>
      <c r="G114" s="80" t="n"/>
      <c r="H114" s="14" t="n"/>
    </row>
    <row r="115">
      <c r="A115" s="14" t="n"/>
      <c r="B115" s="80" t="n"/>
      <c r="C115" s="14" t="n"/>
      <c r="F115" s="14" t="n"/>
      <c r="G115" s="80" t="n"/>
      <c r="H115" s="14" t="n"/>
    </row>
    <row r="116">
      <c r="A116" s="14" t="n"/>
      <c r="B116" s="80" t="n"/>
      <c r="C116" s="14" t="n"/>
      <c r="F116" s="14" t="n"/>
      <c r="G116" s="80" t="n"/>
      <c r="H116" s="14" t="n"/>
    </row>
    <row r="117">
      <c r="A117" s="14" t="n"/>
      <c r="B117" s="80" t="n"/>
      <c r="C117" s="14" t="n"/>
      <c r="F117" s="14" t="n"/>
      <c r="G117" s="80" t="n"/>
      <c r="H117" s="14" t="n"/>
    </row>
    <row r="118">
      <c r="A118" s="14" t="n"/>
      <c r="B118" s="80" t="n"/>
      <c r="C118" s="14" t="n"/>
      <c r="F118" s="14" t="n"/>
      <c r="G118" s="80" t="n"/>
      <c r="H118" s="14" t="n"/>
    </row>
    <row r="119">
      <c r="A119" s="14" t="n"/>
      <c r="B119" s="80" t="n"/>
      <c r="C119" s="14" t="n"/>
      <c r="F119" s="14" t="n"/>
      <c r="G119" s="80" t="n"/>
      <c r="H119" s="14" t="n"/>
    </row>
    <row r="120">
      <c r="A120" s="14" t="n"/>
      <c r="B120" s="80" t="n"/>
      <c r="C120" s="14" t="n"/>
      <c r="F120" s="14" t="n"/>
      <c r="G120" s="80" t="n"/>
      <c r="H120" s="14" t="n"/>
    </row>
    <row r="121">
      <c r="A121" s="14" t="n"/>
      <c r="B121" s="80" t="n"/>
      <c r="C121" s="14" t="n"/>
      <c r="F121" s="14" t="n"/>
      <c r="G121" s="80" t="n"/>
      <c r="H121" s="14" t="n"/>
    </row>
    <row r="122">
      <c r="A122" s="14" t="n"/>
      <c r="B122" s="80" t="n"/>
      <c r="C122" s="14" t="n"/>
      <c r="F122" s="14" t="n"/>
      <c r="G122" s="80" t="n"/>
      <c r="H122" s="14" t="n"/>
    </row>
    <row r="123">
      <c r="A123" s="14" t="n"/>
      <c r="B123" s="80" t="n"/>
      <c r="C123" s="14" t="n"/>
      <c r="F123" s="14" t="n"/>
      <c r="G123" s="80" t="n"/>
      <c r="H123" s="14" t="n"/>
    </row>
    <row r="124">
      <c r="A124" s="14" t="n"/>
      <c r="B124" s="80" t="n"/>
      <c r="C124" s="14" t="n"/>
      <c r="F124" s="14" t="n"/>
      <c r="G124" s="80" t="n"/>
      <c r="H124" s="14" t="n"/>
    </row>
    <row r="125">
      <c r="A125" s="14" t="n"/>
      <c r="B125" s="80" t="n"/>
      <c r="C125" s="14" t="n"/>
      <c r="F125" s="14" t="n"/>
      <c r="G125" s="80" t="n"/>
      <c r="H125" s="14" t="n"/>
    </row>
    <row r="126">
      <c r="A126" s="14" t="n"/>
      <c r="B126" s="80" t="n"/>
      <c r="C126" s="14" t="n"/>
      <c r="F126" s="14" t="n"/>
      <c r="G126" s="80" t="n"/>
      <c r="H126" s="14" t="n"/>
    </row>
    <row r="127">
      <c r="A127" s="14" t="n"/>
      <c r="B127" s="80" t="n"/>
      <c r="C127" s="14" t="n"/>
      <c r="F127" s="14" t="n"/>
      <c r="G127" s="80" t="n"/>
      <c r="H127" s="14" t="n"/>
    </row>
    <row r="128">
      <c r="A128" s="14" t="n"/>
      <c r="B128" s="80" t="n"/>
      <c r="C128" s="14" t="n"/>
      <c r="F128" s="14" t="n"/>
      <c r="G128" s="80" t="n"/>
      <c r="H128" s="14" t="n"/>
    </row>
    <row r="129">
      <c r="A129" s="14" t="n"/>
      <c r="B129" s="80" t="n"/>
      <c r="C129" s="14" t="n"/>
      <c r="F129" s="14" t="n"/>
      <c r="G129" s="80" t="n"/>
      <c r="H129" s="14" t="n"/>
    </row>
  </sheetData>
  <mergeCells count="22">
    <mergeCell ref="A41:F41"/>
    <mergeCell ref="A16:F16"/>
    <mergeCell ref="C48:F48"/>
    <mergeCell ref="B59:F59"/>
    <mergeCell ref="A12:F12"/>
    <mergeCell ref="A50:F50"/>
    <mergeCell ref="B58:F58"/>
    <mergeCell ref="A61:H61"/>
    <mergeCell ref="A57:F57"/>
    <mergeCell ref="A2:F2"/>
    <mergeCell ref="A22:F22"/>
    <mergeCell ref="A35:F35"/>
    <mergeCell ref="C42:F42"/>
    <mergeCell ref="C45:F45"/>
    <mergeCell ref="C47:F47"/>
    <mergeCell ref="C44:F44"/>
    <mergeCell ref="A24:F24"/>
    <mergeCell ref="A62:H62"/>
    <mergeCell ref="A1:F1"/>
    <mergeCell ref="C43:F43"/>
    <mergeCell ref="C46:F46"/>
    <mergeCell ref="A7:F7"/>
  </mergeCells>
  <dataValidations count="1">
    <dataValidation sqref="B4" showDropDown="0" showInputMessage="0" showErrorMessage="0" allowBlank="0" type="list">
      <formula1>"1,2,3,4,5,6,7,8,9,10,11,12"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2E7D32"/>
    <outlinePr summaryBelow="1" summaryRight="1"/>
    <pageSetUpPr/>
  </sheetPr>
  <dimension ref="A1:O130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5" customWidth="1" min="3" max="3"/>
    <col width="11" customWidth="1" min="4" max="4"/>
    <col width="11" customWidth="1" min="5" max="5"/>
    <col width="28" customWidth="1" min="6" max="6"/>
    <col width="12" customWidth="1" min="7" max="7"/>
    <col width="15" customWidth="1" min="8" max="8"/>
    <col hidden="1" width="13" customWidth="1" min="14" max="14"/>
    <col hidden="1" width="13" customWidth="1" min="15" max="15"/>
  </cols>
  <sheetData>
    <row r="1" ht="30" customHeight="1">
      <c r="A1" s="2" t="inlineStr">
        <is>
          <t>BÁO CÁO TIẾN ĐỘ THEO TUẦN</t>
        </is>
      </c>
      <c r="B1" s="3" t="n"/>
      <c r="C1" s="3" t="n"/>
      <c r="D1" s="3" t="n"/>
      <c r="E1" s="3" t="n"/>
      <c r="F1" s="3" t="n"/>
    </row>
    <row r="2">
      <c r="A2" s="22" t="inlineStr">
        <is>
          <t>Chỉ số "trong tuần" lọc theo kỳ đã chọn; số Tổng quan là thời điểm hiện tại. Mục tiêu nhập tại sheet 04_Mục_tiêu (mỗi kỳ một dòng).</t>
        </is>
      </c>
      <c r="B2" s="5" t="n"/>
      <c r="C2" s="5" t="n"/>
      <c r="D2" s="5" t="n"/>
      <c r="E2" s="5" t="n"/>
      <c r="F2" s="5" t="n"/>
    </row>
    <row r="4">
      <c r="A4" s="23" t="inlineStr">
        <is>
          <t>Tháng</t>
        </is>
      </c>
      <c r="B4" s="24" t="n">
        <v>8</v>
      </c>
      <c r="C4" s="23" t="inlineStr">
        <is>
          <t>Tuần</t>
        </is>
      </c>
      <c r="D4" s="24" t="n">
        <v>2</v>
      </c>
      <c r="E4" s="23" t="inlineStr">
        <is>
          <t>Năm</t>
        </is>
      </c>
      <c r="F4" s="24" t="n">
        <v>2026</v>
      </c>
      <c r="N4">
        <f>DATE(F4,B4,(D4-1)*7+1)</f>
        <v/>
      </c>
      <c r="O4">
        <f>MIN(EOMONTH(DATE(F4,B4,1),0),DATE(F4,B4,D4*7))</f>
        <v/>
      </c>
    </row>
    <row r="5">
      <c r="A5" s="81" t="inlineStr">
        <is>
          <t>Từ ngày</t>
        </is>
      </c>
      <c r="B5" s="82">
        <f>N4</f>
        <v/>
      </c>
      <c r="C5" s="81" t="inlineStr">
        <is>
          <t>Đến ngày</t>
        </is>
      </c>
      <c r="D5" s="83">
        <f>O4</f>
        <v/>
      </c>
      <c r="E5" s="5" t="n"/>
      <c r="F5" s="84">
        <f>IF(ISERROR('z_Trang'!$B$1),"⚠ Chưa kết nối","✔ Đã kết nối")</f>
        <v/>
      </c>
    </row>
    <row r="7" ht="22" customHeight="1">
      <c r="A7" s="26" t="inlineStr">
        <is>
          <t>KPI / CHỈ SỐ</t>
        </is>
      </c>
      <c r="B7" s="27" t="inlineStr">
        <is>
          <t>Mục tiêu kỳ</t>
        </is>
      </c>
      <c r="C7" s="27" t="inlineStr">
        <is>
          <t>Kết quả</t>
        </is>
      </c>
      <c r="D7" s="27" t="inlineStr">
        <is>
          <t>Tỷ lệ đạt</t>
        </is>
      </c>
      <c r="E7" s="27" t="inlineStr">
        <is>
          <t>Đạt KPI?</t>
        </is>
      </c>
      <c r="F7" s="27" t="inlineStr">
        <is>
          <t>Ghi chú</t>
        </is>
      </c>
    </row>
    <row r="8" ht="19" customHeight="1">
      <c r="A8" s="28" t="inlineStr">
        <is>
          <t>I. KIỂM TRA WEBSITE</t>
        </is>
      </c>
      <c r="B8" s="29" t="n"/>
      <c r="C8" s="29" t="n"/>
      <c r="D8" s="29" t="n"/>
      <c r="E8" s="29" t="n"/>
      <c r="F8" s="29" t="n"/>
    </row>
    <row r="9">
      <c r="A9" s="30" t="inlineStr">
        <is>
          <t>1. Trang hoàn thành</t>
        </is>
      </c>
      <c r="B9" s="31">
        <f>IFERROR(INDEX('04_Mục_tiêu'!$D$20:$N$79,MATCH($B$4*10+$D$4,'04_Mục_tiêu'!$C$20:$C$79,0),1),"")</f>
        <v/>
      </c>
      <c r="C9" s="32">
        <f>'z_Trang'!$D$1</f>
        <v/>
      </c>
      <c r="D9" s="33">
        <f>IFERROR(C9/B9,"")</f>
        <v/>
      </c>
      <c r="E9" s="34">
        <f>IF(ISNUMBER(B9),IF(C9&gt;=B9,"Đạt","Chưa đạt"),"Theo dõi")</f>
        <v/>
      </c>
      <c r="F9" s="35" t="inlineStr">
        <is>
          <t>Hoàn thành / tổng số trang</t>
        </is>
      </c>
    </row>
    <row r="10">
      <c r="A10" s="36" t="inlineStr">
        <is>
          <t>2. Tính năng hoàn thành</t>
        </is>
      </c>
      <c r="B10" s="37">
        <f>IFERROR(INDEX('04_Mục_tiêu'!$D$20:$N$79,MATCH($B$4*10+$D$4,'04_Mục_tiêu'!$C$20:$C$79,0),2),"")</f>
        <v/>
      </c>
      <c r="C10" s="38">
        <f>'z_TinhNang'!$D$1</f>
        <v/>
      </c>
      <c r="D10" s="39">
        <f>IFERROR(C10/B10,"")</f>
        <v/>
      </c>
      <c r="E10" s="40">
        <f>IF(ISNUMBER(B10),IF(C10&gt;=B10,"Đạt","Chưa đạt"),"Theo dõi")</f>
        <v/>
      </c>
      <c r="F10" s="41" t="inlineStr">
        <is>
          <t>Hoàn thành / 88 tính năng</t>
        </is>
      </c>
    </row>
    <row r="11">
      <c r="A11" s="30" t="inlineStr">
        <is>
          <t>3. Công việc hoàn thành trong tuần</t>
        </is>
      </c>
      <c r="B11" s="31">
        <f>IFERROR(INDEX('04_Mục_tiêu'!$D$20:$N$79,MATCH($B$4*10+$D$4,'04_Mục_tiêu'!$C$20:$C$79,0),3),"")</f>
        <v/>
      </c>
      <c r="C11" s="32">
        <f>COUNTIFS('z_CV'!$B:$B,"&gt;="&amp;$N$4,'z_CV'!$B:$B,"&lt;="&amp;$O$4,'z_CV'!$O:$O,"Hoàn thành")</f>
        <v/>
      </c>
      <c r="D11" s="33">
        <f>IFERROR(C11/B11,"")</f>
        <v/>
      </c>
      <c r="E11" s="34">
        <f>IF(ISNUMBER(B11),IF(C11&gt;=B11,"Đạt","Chưa đạt"),"Theo dõi")</f>
        <v/>
      </c>
      <c r="F11" s="35" t="inlineStr">
        <is>
          <t>Nhật ký công việc theo ngày</t>
        </is>
      </c>
    </row>
    <row r="12">
      <c r="A12" s="36" t="inlineStr">
        <is>
          <t>4. Lỗi phát hiện trong tuần</t>
        </is>
      </c>
      <c r="B12" s="37">
        <f>IFERROR(INDEX('04_Mục_tiêu'!$D$20:$N$79,MATCH($B$4*10+$D$4,'04_Mục_tiêu'!$C$20:$C$79,0),4),"")</f>
        <v/>
      </c>
      <c r="C12" s="38">
        <f>COUNTIFS('z_Loi'!$Q:$Q,"&gt;="&amp;$N$4,'z_Loi'!$Q:$Q,"&lt;="&amp;$O$4)</f>
        <v/>
      </c>
      <c r="D12" s="39">
        <f>IFERROR(C12/B12,"")</f>
        <v/>
      </c>
      <c r="E12" s="40">
        <f>IF(ISNUMBER(B12),IF(C12&gt;=B12,"Đạt","Chưa đạt"),"Theo dõi")</f>
        <v/>
      </c>
      <c r="F12" s="41" t="inlineStr">
        <is>
          <t>Theo Ngày phát hiện (05_Lỗi_Tester)</t>
        </is>
      </c>
    </row>
    <row r="13" ht="19" customHeight="1">
      <c r="A13" s="28" t="inlineStr">
        <is>
          <t>II. HOÀN THIỆN WEBSITE</t>
        </is>
      </c>
      <c r="B13" s="29" t="n"/>
      <c r="C13" s="29" t="n"/>
      <c r="D13" s="29" t="n"/>
      <c r="E13" s="29" t="n"/>
      <c r="F13" s="29" t="n"/>
    </row>
    <row r="14">
      <c r="A14" s="30" t="inlineStr">
        <is>
          <t>1. Lỗi đã xử lý (lũy kế)</t>
        </is>
      </c>
      <c r="B14" s="31">
        <f>IFERROR(INDEX('04_Mục_tiêu'!$D$20:$N$79,MATCH($B$4*10+$D$4,'04_Mục_tiêu'!$C$20:$C$79,0),5),"")</f>
        <v/>
      </c>
      <c r="C14" s="32">
        <f>(COUNTIF('z_Loi'!$U:$U,"Fixed")+COUNTIF('z_Loi'!$U:$U,"Verified")+COUNTIF('z_Loi'!$U:$U,"Closed"))</f>
        <v/>
      </c>
      <c r="D14" s="33">
        <f>IFERROR(C14/B14,"")</f>
        <v/>
      </c>
      <c r="E14" s="34">
        <f>IF(ISNUMBER(B14),IF(C14&gt;=B14,"Đạt","Chưa đạt"),"Theo dõi")</f>
        <v/>
      </c>
      <c r="F14" s="35" t="inlineStr">
        <is>
          <t>Fixed + Verified + Closed</t>
        </is>
      </c>
    </row>
    <row r="15">
      <c r="A15" s="36" t="inlineStr">
        <is>
          <t>2. Số Trang đã xử lý</t>
        </is>
      </c>
      <c r="B15" s="37">
        <f>IFERROR(INDEX('04_Mục_tiêu'!$D$20:$N$79,MATCH($B$4*10+$D$4,'04_Mục_tiêu'!$C$20:$C$79,0),6),"")</f>
        <v/>
      </c>
      <c r="C15" s="38">
        <f>'z_Trang'!$B$1-'z_Trang'!$L$1</f>
        <v/>
      </c>
      <c r="D15" s="39">
        <f>IFERROR(C15/B15,"")</f>
        <v/>
      </c>
      <c r="E15" s="40">
        <f>IF(ISNUMBER(B15),IF(C15&gt;=B15,"Đạt","Chưa đạt"),"Theo dõi")</f>
        <v/>
      </c>
      <c r="F15" s="41" t="inlineStr">
        <is>
          <t>Đã kiểm thử = Tổng − Chưa kiểm tra</t>
        </is>
      </c>
    </row>
    <row r="16">
      <c r="A16" s="30" t="inlineStr">
        <is>
          <t>3. Số Tính năng đã xử lý</t>
        </is>
      </c>
      <c r="B16" s="31">
        <f>IFERROR(INDEX('04_Mục_tiêu'!$D$20:$N$79,MATCH($B$4*10+$D$4,'04_Mục_tiêu'!$C$20:$C$79,0),7),"")</f>
        <v/>
      </c>
      <c r="C16" s="32">
        <f>'z_TinhNang'!$B$1-'z_TinhNang'!$L$1</f>
        <v/>
      </c>
      <c r="D16" s="33">
        <f>IFERROR(C16/B16,"")</f>
        <v/>
      </c>
      <c r="E16" s="34">
        <f>IF(ISNUMBER(B16),IF(C16&gt;=B16,"Đạt","Chưa đạt"),"Theo dõi")</f>
        <v/>
      </c>
      <c r="F16" s="35" t="inlineStr">
        <is>
          <t>Đã kiểm thử = Tổng − Chưa kiểm tra</t>
        </is>
      </c>
    </row>
    <row r="17" ht="19" customHeight="1">
      <c r="A17" s="28" t="inlineStr">
        <is>
          <t>III. DATABASE (trong tuần)</t>
        </is>
      </c>
      <c r="B17" s="29" t="n"/>
      <c r="C17" s="29" t="n"/>
      <c r="D17" s="29" t="n"/>
      <c r="E17" s="29" t="n"/>
      <c r="F17" s="29" t="n"/>
    </row>
    <row r="18">
      <c r="A18" s="30" t="inlineStr">
        <is>
          <t>1. DB Doanh nghiệp đã thêm</t>
        </is>
      </c>
      <c r="B18" s="31">
        <f>IFERROR(INDEX('04_Mục_tiêu'!$D$20:$N$79,MATCH($B$4*10+$D$4,'04_Mục_tiêu'!$C$20:$C$79,0),8),"")</f>
        <v/>
      </c>
      <c r="C18" s="32">
        <f>COUNTIFS('z_DB_DN'!$K:$K,"&gt;="&amp;$N$4,'z_DB_DN'!$K:$K,"&lt;="&amp;$O$4)</f>
        <v/>
      </c>
      <c r="D18" s="33">
        <f>IFERROR(C18/B18,"")</f>
        <v/>
      </c>
      <c r="E18" s="34">
        <f>IF(ISNUMBER(B18),IF(C18&gt;=B18,"Đạt","Chưa đạt"),"Theo dõi")</f>
        <v/>
      </c>
      <c r="F18" s="35" t="inlineStr">
        <is>
          <t>Theo Ngày Đăng/Tạo</t>
        </is>
      </c>
    </row>
    <row r="19">
      <c r="A19" s="36" t="inlineStr">
        <is>
          <t>2. DB HR đã thêm</t>
        </is>
      </c>
      <c r="B19" s="37">
        <f>IFERROR(INDEX('04_Mục_tiêu'!$D$20:$N$79,MATCH($B$4*10+$D$4,'04_Mục_tiêu'!$C$20:$C$79,0),9),"")</f>
        <v/>
      </c>
      <c r="C19" s="38">
        <f>COUNTIFS('z_DB_HR'!$B:$B,"&gt;="&amp;$N$4,'z_DB_HR'!$B:$B,"&lt;="&amp;$O$4)</f>
        <v/>
      </c>
      <c r="D19" s="39">
        <f>IFERROR(C19/B19,"")</f>
        <v/>
      </c>
      <c r="E19" s="40">
        <f>IF(ISNUMBER(B19),IF(C19&gt;=B19,"Đạt","Chưa đạt"),"Theo dõi")</f>
        <v/>
      </c>
      <c r="F19" s="41" t="inlineStr">
        <is>
          <t>Theo Ngày Đăng/Tạo</t>
        </is>
      </c>
    </row>
    <row r="20">
      <c r="A20" s="30" t="inlineStr">
        <is>
          <t>3. DB Ứng viên đã thêm</t>
        </is>
      </c>
      <c r="B20" s="31">
        <f>IFERROR(INDEX('04_Mục_tiêu'!$D$20:$N$79,MATCH($B$4*10+$D$4,'04_Mục_tiêu'!$C$20:$C$79,0),10),"")</f>
        <v/>
      </c>
      <c r="C20" s="32">
        <f>COUNTA('z_DB_UV'!$A:$A)</f>
        <v/>
      </c>
      <c r="D20" s="33">
        <f>IFERROR(C20/B20,"")</f>
        <v/>
      </c>
      <c r="E20" s="34">
        <f>IF(ISNUMBER(B20),IF(C20&gt;=B20,"Đạt","Chưa đạt"),"Theo dõi")</f>
        <v/>
      </c>
      <c r="F20" s="35" t="inlineStr">
        <is>
          <t>Theo tổng (chưa có cột ngày nhập)</t>
        </is>
      </c>
    </row>
    <row r="21">
      <c r="A21" s="36" t="inlineStr">
        <is>
          <t>4. Tin tuyển dụng đã đăng</t>
        </is>
      </c>
      <c r="B21" s="37">
        <f>IFERROR(INDEX('04_Mục_tiêu'!$D$20:$N$79,MATCH($B$4*10+$D$4,'04_Mục_tiêu'!$C$20:$C$79,0),11),"")</f>
        <v/>
      </c>
      <c r="C21" s="38">
        <f>COUNTIFS('z_DB_Tin'!$B:$B,"&gt;="&amp;$N$4,'z_DB_Tin'!$B:$B,"&lt;="&amp;$O$4)</f>
        <v/>
      </c>
      <c r="D21" s="39">
        <f>IFERROR(C21/B21,"")</f>
        <v/>
      </c>
      <c r="E21" s="40">
        <f>IF(ISNUMBER(B21),IF(C21&gt;=B21,"Đạt","Chưa đạt"),"Theo dõi")</f>
        <v/>
      </c>
      <c r="F21" s="41" t="inlineStr">
        <is>
          <t>Theo Ngày viết</t>
        </is>
      </c>
    </row>
    <row r="23" ht="22" customHeight="1">
      <c r="A23" s="11" t="inlineStr">
        <is>
          <t>TỔNG QUAN HIỆN TẠI (thời điểm xem)</t>
        </is>
      </c>
      <c r="B23" s="7" t="n"/>
      <c r="C23" s="7" t="n"/>
      <c r="D23" s="7" t="n"/>
      <c r="E23" s="7" t="n"/>
      <c r="F23" s="7" t="n"/>
    </row>
    <row r="24">
      <c r="A24" s="42" t="inlineStr">
        <is>
          <t>Chỉ số</t>
        </is>
      </c>
      <c r="B24" s="43" t="inlineStr">
        <is>
          <t>Số lượng</t>
        </is>
      </c>
      <c r="C24" s="43" t="inlineStr">
        <is>
          <t>Tổng</t>
        </is>
      </c>
      <c r="D24" s="43" t="inlineStr">
        <is>
          <t>Tỷ lệ</t>
        </is>
      </c>
    </row>
    <row r="25" ht="19" customHeight="1">
      <c r="A25" s="28" t="inlineStr">
        <is>
          <t>I. KIỂM TRA WEBSITE</t>
        </is>
      </c>
      <c r="B25" s="29" t="n"/>
      <c r="C25" s="29" t="n"/>
      <c r="D25" s="29" t="n"/>
      <c r="E25" s="29" t="n"/>
      <c r="F25" s="29" t="n"/>
    </row>
    <row r="26">
      <c r="A26" s="44" t="inlineStr">
        <is>
          <t>Trang hoàn thành</t>
        </is>
      </c>
      <c r="B26" s="45">
        <f>'z_Trang'!$D$1</f>
        <v/>
      </c>
      <c r="C26" s="46">
        <f>'z_Trang'!$B$1</f>
        <v/>
      </c>
      <c r="D26" s="47">
        <f>'z_Trang'!$F$1</f>
        <v/>
      </c>
    </row>
    <row r="27">
      <c r="A27" s="48" t="inlineStr">
        <is>
          <t>Trang đang kiểm tra</t>
        </is>
      </c>
      <c r="B27" s="38">
        <f>'z_Trang'!$H$1</f>
        <v/>
      </c>
      <c r="C27" s="49">
        <f>'z_Trang'!$B$1</f>
        <v/>
      </c>
      <c r="D27" s="50">
        <f>'z_Trang'!$H$1/'z_Trang'!$B$1</f>
        <v/>
      </c>
    </row>
    <row r="28">
      <c r="A28" s="51" t="inlineStr">
        <is>
          <t>Trang cần kiểm tra lại</t>
        </is>
      </c>
      <c r="B28" s="32">
        <f>'z_Trang'!$J$1</f>
        <v/>
      </c>
      <c r="C28" s="52">
        <f>'z_Trang'!$B$1</f>
        <v/>
      </c>
      <c r="D28" s="53">
        <f>'z_Trang'!$J$1/'z_Trang'!$B$1</f>
        <v/>
      </c>
    </row>
    <row r="29">
      <c r="A29" s="48" t="inlineStr">
        <is>
          <t>Trang chưa kiểm tra</t>
        </is>
      </c>
      <c r="B29" s="38">
        <f>'z_Trang'!$L$1</f>
        <v/>
      </c>
      <c r="C29" s="49">
        <f>'z_Trang'!$B$1</f>
        <v/>
      </c>
      <c r="D29" s="50">
        <f>'z_Trang'!$L$1/'z_Trang'!$B$1</f>
        <v/>
      </c>
    </row>
    <row r="30">
      <c r="A30" s="44" t="inlineStr">
        <is>
          <t>Tính năng hoàn thành</t>
        </is>
      </c>
      <c r="B30" s="45">
        <f>'z_TinhNang'!$D$1</f>
        <v/>
      </c>
      <c r="C30" s="46">
        <f>'z_TinhNang'!$B$1</f>
        <v/>
      </c>
      <c r="D30" s="47">
        <f>'z_TinhNang'!$F$1</f>
        <v/>
      </c>
    </row>
    <row r="31">
      <c r="A31" s="48" t="inlineStr">
        <is>
          <t>Tính năng cần kiểm tra lại</t>
        </is>
      </c>
      <c r="B31" s="38">
        <f>'z_TinhNang'!$J$1</f>
        <v/>
      </c>
      <c r="C31" s="49">
        <f>'z_TinhNang'!$B$1</f>
        <v/>
      </c>
      <c r="D31" s="50">
        <f>'z_TinhNang'!$J$1/'z_TinhNang'!$B$1</f>
        <v/>
      </c>
    </row>
    <row r="32">
      <c r="A32" s="51" t="inlineStr">
        <is>
          <t>Tính năng chưa kiểm tra</t>
        </is>
      </c>
      <c r="B32" s="32">
        <f>'z_TinhNang'!$L$1</f>
        <v/>
      </c>
      <c r="C32" s="52">
        <f>'z_TinhNang'!$B$1</f>
        <v/>
      </c>
      <c r="D32" s="53">
        <f>'z_TinhNang'!$L$1/'z_TinhNang'!$B$1</f>
        <v/>
      </c>
    </row>
    <row r="33">
      <c r="A33" s="48" t="inlineStr">
        <is>
          <t>Tổng lỗi ghi nhận</t>
        </is>
      </c>
      <c r="B33" s="38">
        <f>COUNTA('z_Loi'!$E:$E)-1</f>
        <v/>
      </c>
      <c r="C33" s="54" t="n"/>
      <c r="D33" s="40" t="n"/>
    </row>
    <row r="34">
      <c r="A34" s="55" t="inlineStr">
        <is>
          <t>Lỗi đang mở (Open + Chưa gửi Dev)</t>
        </is>
      </c>
      <c r="B34" s="56">
        <f>(COUNTIF('z_Loi'!$U:$U,"Open")+COUNTIF('z_Loi'!$U:$U,"Chưa gửi Dev"))</f>
        <v/>
      </c>
      <c r="C34" s="57" t="n"/>
      <c r="D34" s="58" t="n"/>
    </row>
    <row r="35">
      <c r="A35" s="55" t="inlineStr">
        <is>
          <t>Lỗi Critical/High đang mở</t>
        </is>
      </c>
      <c r="B35" s="56">
        <f>(COUNTIFS('z_Loi'!$U:$U,"Open",'z_Loi'!$L:$L,"Critical")+COUNTIFS('z_Loi'!$U:$U,"Open",'z_Loi'!$L:$L,"High")+COUNTIFS('z_Loi'!$U:$U,"Chưa gửi Dev",'z_Loi'!$L:$L,"Critical")+COUNTIFS('z_Loi'!$U:$U,"Chưa gửi Dev",'z_Loi'!$L:$L,"High"))</f>
        <v/>
      </c>
      <c r="C35" s="57" t="n"/>
      <c r="D35" s="58" t="n"/>
    </row>
    <row r="36" ht="19" customHeight="1">
      <c r="A36" s="28" t="inlineStr">
        <is>
          <t>II. DATABASE (tổng đã thêm)</t>
        </is>
      </c>
      <c r="B36" s="29" t="n"/>
      <c r="C36" s="29" t="n"/>
      <c r="D36" s="29" t="n"/>
      <c r="E36" s="29" t="n"/>
      <c r="F36" s="29" t="n"/>
    </row>
    <row r="37">
      <c r="A37" s="51" t="inlineStr">
        <is>
          <t>DB Doanh nghiệp</t>
        </is>
      </c>
      <c r="B37" s="32">
        <f>COUNTA('z_DB_DN'!$A:$A)</f>
        <v/>
      </c>
      <c r="C37" s="59" t="n"/>
      <c r="D37" s="34" t="n"/>
    </row>
    <row r="38">
      <c r="A38" s="48" t="inlineStr">
        <is>
          <t>DB HR</t>
        </is>
      </c>
      <c r="B38" s="38">
        <f>COUNTA('z_DB_HR'!$A:$A)</f>
        <v/>
      </c>
      <c r="C38" s="54" t="n"/>
      <c r="D38" s="40" t="n"/>
    </row>
    <row r="39">
      <c r="A39" s="51" t="inlineStr">
        <is>
          <t>DB Ứng viên</t>
        </is>
      </c>
      <c r="B39" s="32">
        <f>COUNTA('z_DB_UV'!$A:$A)</f>
        <v/>
      </c>
      <c r="C39" s="59" t="n"/>
      <c r="D39" s="34" t="n"/>
    </row>
    <row r="40">
      <c r="A40" s="48" t="inlineStr">
        <is>
          <t>Tin tuyển dụng đã đăng</t>
        </is>
      </c>
      <c r="B40" s="38">
        <f>COUNTA('z_DB_Tin'!$A:$A)</f>
        <v/>
      </c>
      <c r="C40" s="54" t="n"/>
      <c r="D40" s="40" t="n"/>
    </row>
    <row r="42" ht="22" customHeight="1">
      <c r="A42" s="11" t="inlineStr">
        <is>
          <t>TÌNH TRẠNG XỬ LÝ LỖI (toàn bộ)</t>
        </is>
      </c>
      <c r="B42" s="7" t="n"/>
      <c r="C42" s="7" t="n"/>
      <c r="D42" s="7" t="n"/>
      <c r="E42" s="7" t="n"/>
      <c r="F42" s="7" t="n"/>
    </row>
    <row r="43">
      <c r="A43" s="42" t="inlineStr">
        <is>
          <t>Trạng thái</t>
        </is>
      </c>
      <c r="B43" s="43" t="inlineStr">
        <is>
          <t>Số lỗi</t>
        </is>
      </c>
      <c r="C43" s="42" t="inlineStr">
        <is>
          <t>Ý nghĩa</t>
        </is>
      </c>
      <c r="D43" s="60" t="n"/>
      <c r="E43" s="60" t="n"/>
      <c r="F43" s="60" t="n"/>
    </row>
    <row r="44">
      <c r="A44" s="61" t="inlineStr">
        <is>
          <t>Open</t>
        </is>
      </c>
      <c r="B44" s="32">
        <f>COUNTIF('z_Loi'!$U:$U,"Open")</f>
        <v/>
      </c>
      <c r="C44" s="62" t="inlineStr">
        <is>
          <t>Lỗi đang mở, đã ghi nhận</t>
        </is>
      </c>
      <c r="D44" s="63" t="n"/>
      <c r="E44" s="63" t="n"/>
      <c r="F44" s="63" t="n"/>
    </row>
    <row r="45">
      <c r="A45" s="64" t="inlineStr">
        <is>
          <t>Chưa gửi Dev</t>
        </is>
      </c>
      <c r="B45" s="38">
        <f>COUNTIF('z_Loi'!$U:$U,"Chưa gửi Dev")</f>
        <v/>
      </c>
      <c r="C45" s="65" t="inlineStr">
        <is>
          <t>Chưa chuyển Dev xử lý</t>
        </is>
      </c>
      <c r="D45" s="66" t="n"/>
      <c r="E45" s="66" t="n"/>
      <c r="F45" s="66" t="n"/>
    </row>
    <row r="46">
      <c r="A46" s="67" t="inlineStr">
        <is>
          <t>Fixed</t>
        </is>
      </c>
      <c r="B46" s="32">
        <f>COUNTIF('z_Loi'!$U:$U,"Fixed")</f>
        <v/>
      </c>
      <c r="C46" s="62" t="inlineStr">
        <is>
          <t>Dev báo đã sửa</t>
        </is>
      </c>
      <c r="D46" s="63" t="n"/>
      <c r="E46" s="63" t="n"/>
      <c r="F46" s="63" t="n"/>
    </row>
    <row r="47">
      <c r="A47" s="68" t="inlineStr">
        <is>
          <t>Verified</t>
        </is>
      </c>
      <c r="B47" s="38">
        <f>COUNTIF('z_Loi'!$U:$U,"Verified")</f>
        <v/>
      </c>
      <c r="C47" s="65" t="inlineStr">
        <is>
          <t>Đã retest đạt</t>
        </is>
      </c>
      <c r="D47" s="66" t="n"/>
      <c r="E47" s="66" t="n"/>
      <c r="F47" s="66" t="n"/>
    </row>
    <row r="48">
      <c r="A48" s="69" t="inlineStr">
        <is>
          <t>Closed</t>
        </is>
      </c>
      <c r="B48" s="32">
        <f>COUNTIF('z_Loi'!$U:$U,"Closed")</f>
        <v/>
      </c>
      <c r="C48" s="62" t="inlineStr">
        <is>
          <t>Đã đóng</t>
        </is>
      </c>
      <c r="D48" s="63" t="n"/>
      <c r="E48" s="63" t="n"/>
      <c r="F48" s="63" t="n"/>
    </row>
    <row r="49">
      <c r="A49" s="70" t="inlineStr">
        <is>
          <t>Deferred</t>
        </is>
      </c>
      <c r="B49" s="38">
        <f>COUNTIF('z_Loi'!$U:$U,"Deferred")</f>
        <v/>
      </c>
      <c r="C49" s="65" t="inlineStr">
        <is>
          <t>Tạm hoãn / không sửa</t>
        </is>
      </c>
      <c r="D49" s="66" t="n"/>
      <c r="E49" s="66" t="n"/>
      <c r="F49" s="66" t="n"/>
    </row>
    <row r="51" ht="22" customHeight="1">
      <c r="A51" s="11" t="inlineStr">
        <is>
          <t>PHÂN BỐ LỖI PHÁT HIỆN TRONG TUẦN</t>
        </is>
      </c>
      <c r="B51" s="7" t="n"/>
      <c r="C51" s="7" t="n"/>
      <c r="D51" s="7" t="n"/>
      <c r="E51" s="7" t="n"/>
      <c r="F51" s="7" t="n"/>
    </row>
    <row r="52">
      <c r="A52" s="42" t="inlineStr">
        <is>
          <t>Theo mức độ</t>
        </is>
      </c>
      <c r="B52" s="43" t="inlineStr">
        <is>
          <t>Số lỗi</t>
        </is>
      </c>
      <c r="D52" s="42" t="inlineStr">
        <is>
          <t>Theo thiết bị</t>
        </is>
      </c>
      <c r="E52" s="43" t="inlineStr">
        <is>
          <t>Số lỗi</t>
        </is>
      </c>
    </row>
    <row r="53">
      <c r="A53" s="61" t="inlineStr">
        <is>
          <t>Critical</t>
        </is>
      </c>
      <c r="B53" s="32">
        <f>COUNTIFS('z_Loi'!$Q:$Q,"&gt;="&amp;$N$4,'z_Loi'!$Q:$Q,"&lt;="&amp;$O$4,'z_Loi'!$L:$L,"Critical")</f>
        <v/>
      </c>
      <c r="D53" s="51" t="inlineStr">
        <is>
          <t>Desktop</t>
        </is>
      </c>
      <c r="E53" s="32">
        <f>COUNTIFS('z_Loi'!$Q:$Q,"&gt;="&amp;$N$4,'z_Loi'!$Q:$Q,"&lt;="&amp;$O$4,'z_Loi'!$M:$M,"*Desktop*")</f>
        <v/>
      </c>
    </row>
    <row r="54">
      <c r="A54" s="71" t="inlineStr">
        <is>
          <t>High</t>
        </is>
      </c>
      <c r="B54" s="38">
        <f>COUNTIFS('z_Loi'!$Q:$Q,"&gt;="&amp;$N$4,'z_Loi'!$Q:$Q,"&lt;="&amp;$O$4,'z_Loi'!$L:$L,"High")</f>
        <v/>
      </c>
      <c r="D54" s="48" t="inlineStr">
        <is>
          <t>Mobile</t>
        </is>
      </c>
      <c r="E54" s="38">
        <f>COUNTIFS('z_Loi'!$Q:$Q,"&gt;="&amp;$N$4,'z_Loi'!$Q:$Q,"&lt;="&amp;$O$4,'z_Loi'!$M:$M,"*Mobile*")</f>
        <v/>
      </c>
    </row>
    <row r="55">
      <c r="A55" s="72" t="inlineStr">
        <is>
          <t>Medium</t>
        </is>
      </c>
      <c r="B55" s="32">
        <f>COUNTIFS('z_Loi'!$Q:$Q,"&gt;="&amp;$N$4,'z_Loi'!$Q:$Q,"&lt;="&amp;$O$4,'z_Loi'!$L:$L,"Medium")</f>
        <v/>
      </c>
      <c r="D55" s="51" t="inlineStr">
        <is>
          <t>Tablet</t>
        </is>
      </c>
      <c r="E55" s="32">
        <f>COUNTIFS('z_Loi'!$Q:$Q,"&gt;="&amp;$N$4,'z_Loi'!$Q:$Q,"&lt;="&amp;$O$4,'z_Loi'!$M:$M,"*Tablet*")</f>
        <v/>
      </c>
    </row>
    <row r="56">
      <c r="A56" s="68" t="inlineStr">
        <is>
          <t>Low</t>
        </is>
      </c>
      <c r="B56" s="38">
        <f>COUNTIFS('z_Loi'!$Q:$Q,"&gt;="&amp;$N$4,'z_Loi'!$Q:$Q,"&lt;="&amp;$O$4,'z_Loi'!$L:$L,"Low")</f>
        <v/>
      </c>
    </row>
    <row r="58">
      <c r="A58" s="73" t="inlineStr">
        <is>
          <t>THANH TIẾN ĐỘ HOÀN THÀNH</t>
        </is>
      </c>
      <c r="B58" s="60" t="n"/>
      <c r="C58" s="60" t="n"/>
      <c r="D58" s="60" t="n"/>
      <c r="E58" s="60" t="n"/>
      <c r="F58" s="60" t="n"/>
    </row>
    <row r="59">
      <c r="A59" s="74" t="inlineStr">
        <is>
          <t>Trang</t>
        </is>
      </c>
      <c r="B59" s="75">
        <f>REPT("█",ROUND('z_Trang'!$F$1*30,0))&amp;" "&amp;TEXT('z_Trang'!$F$1,"0.0%")</f>
        <v/>
      </c>
      <c r="C59" s="63" t="n"/>
      <c r="D59" s="63" t="n"/>
      <c r="E59" s="63" t="n"/>
      <c r="F59" s="63" t="n"/>
    </row>
    <row r="60">
      <c r="A60" s="76" t="inlineStr">
        <is>
          <t>Tính năng</t>
        </is>
      </c>
      <c r="B60" s="77">
        <f>REPT("█",ROUND('z_TinhNang'!$F$1*30,0))&amp;" "&amp;TEXT('z_TinhNang'!$F$1,"0.0%")</f>
        <v/>
      </c>
      <c r="C60" s="66" t="n"/>
      <c r="D60" s="66" t="n"/>
      <c r="E60" s="66" t="n"/>
      <c r="F60" s="66" t="n"/>
    </row>
    <row r="62" ht="22" customHeight="1">
      <c r="A62" s="11" t="inlineStr">
        <is>
          <t>CHI TIẾT: TRANG &amp; TÍNH NĂNG ĐÃ TEST TRONG TUẦN</t>
        </is>
      </c>
      <c r="B62" s="7" t="n"/>
      <c r="C62" s="7" t="n"/>
      <c r="D62" s="7" t="n"/>
      <c r="E62" s="7" t="n"/>
      <c r="F62" s="7" t="n"/>
      <c r="G62" s="7" t="n"/>
      <c r="H62" s="7" t="n"/>
    </row>
    <row r="63">
      <c r="A63" s="78" t="inlineStr">
        <is>
          <t>Trang/tính năng có Ngày test gần nhất trong kỳ (trạng thái Hoàn thành hoặc Kiểm tra lại).</t>
        </is>
      </c>
      <c r="B63" s="5" t="n"/>
      <c r="C63" s="5" t="n"/>
      <c r="D63" s="5" t="n"/>
      <c r="E63" s="5" t="n"/>
      <c r="F63" s="5" t="n"/>
      <c r="G63" s="5" t="n"/>
      <c r="H63" s="5" t="n"/>
    </row>
    <row r="64">
      <c r="A64" s="42" t="inlineStr">
        <is>
          <t>TRANG đã test trong kỳ</t>
        </is>
      </c>
      <c r="B64" s="43" t="inlineStr">
        <is>
          <t>Số lỗi</t>
        </is>
      </c>
      <c r="C64" s="43" t="inlineStr">
        <is>
          <t>Ngày test/retest</t>
        </is>
      </c>
      <c r="F64" s="42" t="inlineStr">
        <is>
          <t>TÍNH NĂNG đã test trong kỳ</t>
        </is>
      </c>
      <c r="G64" s="43" t="inlineStr">
        <is>
          <t>Số lỗi</t>
        </is>
      </c>
      <c r="H64" s="43" t="inlineStr">
        <is>
          <t>Ngày test/retest</t>
        </is>
      </c>
    </row>
    <row r="65">
      <c r="A65" s="79">
        <f>IFERROR(QUERY('z_TrangFull'!$A$1:$R$197,"select B, I, P where P &gt;= date '"&amp;TEXT($N$4,"yyyy-mm-dd")&amp;"' and P &lt;= date '"&amp;TEXT($O$4,"yyyy-mm-dd")&amp;"' and (E = 'Hoàn thành' or E = 'Kiểm tra lại') order by P desc label B '', I '', P '' format I '#,##0', P 'dd/mm/yyyy'",1),"(không có trang test trong kỳ)")</f>
        <v/>
      </c>
      <c r="B65" s="80" t="n"/>
      <c r="C65" s="85" t="n"/>
      <c r="F65" s="79">
        <f>IFERROR(QUERY('z_TNFull'!$A$1:$T$197,"select B, K, R where R &gt;= date '"&amp;TEXT($N$4,"yyyy-mm-dd")&amp;"' and R &lt;= date '"&amp;TEXT($O$4,"yyyy-mm-dd")&amp;"' and (J = 'Hoàn thành' or J = 'Kiểm tra lại') order by R desc label B '', K '', R '' format K '#,##0', R 'dd/mm/yyyy'",1),"(không có tính năng test trong kỳ)")</f>
        <v/>
      </c>
      <c r="G65" s="80" t="n"/>
      <c r="H65" s="85" t="n"/>
    </row>
    <row r="66">
      <c r="A66" s="14" t="n"/>
      <c r="B66" s="80" t="n"/>
      <c r="C66" s="85" t="n"/>
      <c r="F66" s="14" t="n"/>
      <c r="G66" s="80" t="n"/>
      <c r="H66" s="85" t="n"/>
    </row>
    <row r="67">
      <c r="A67" s="14" t="n"/>
      <c r="B67" s="80" t="n"/>
      <c r="C67" s="85" t="n"/>
      <c r="F67" s="14" t="n"/>
      <c r="G67" s="80" t="n"/>
      <c r="H67" s="85" t="n"/>
    </row>
    <row r="68">
      <c r="A68" s="14" t="n"/>
      <c r="B68" s="80" t="n"/>
      <c r="C68" s="85" t="n"/>
      <c r="F68" s="14" t="n"/>
      <c r="G68" s="80" t="n"/>
      <c r="H68" s="85" t="n"/>
    </row>
    <row r="69">
      <c r="A69" s="14" t="n"/>
      <c r="B69" s="80" t="n"/>
      <c r="C69" s="85" t="n"/>
      <c r="F69" s="14" t="n"/>
      <c r="G69" s="80" t="n"/>
      <c r="H69" s="85" t="n"/>
    </row>
    <row r="70">
      <c r="A70" s="14" t="n"/>
      <c r="B70" s="80" t="n"/>
      <c r="C70" s="85" t="n"/>
      <c r="F70" s="14" t="n"/>
      <c r="G70" s="80" t="n"/>
      <c r="H70" s="85" t="n"/>
    </row>
    <row r="71">
      <c r="A71" s="14" t="n"/>
      <c r="B71" s="80" t="n"/>
      <c r="C71" s="85" t="n"/>
      <c r="F71" s="14" t="n"/>
      <c r="G71" s="80" t="n"/>
      <c r="H71" s="85" t="n"/>
    </row>
    <row r="72">
      <c r="A72" s="14" t="n"/>
      <c r="B72" s="80" t="n"/>
      <c r="C72" s="85" t="n"/>
      <c r="F72" s="14" t="n"/>
      <c r="G72" s="80" t="n"/>
      <c r="H72" s="85" t="n"/>
    </row>
    <row r="73">
      <c r="A73" s="14" t="n"/>
      <c r="B73" s="80" t="n"/>
      <c r="C73" s="85" t="n"/>
      <c r="F73" s="14" t="n"/>
      <c r="G73" s="80" t="n"/>
      <c r="H73" s="85" t="n"/>
    </row>
    <row r="74">
      <c r="A74" s="14" t="n"/>
      <c r="B74" s="80" t="n"/>
      <c r="C74" s="85" t="n"/>
      <c r="F74" s="14" t="n"/>
      <c r="G74" s="80" t="n"/>
      <c r="H74" s="85" t="n"/>
    </row>
    <row r="75">
      <c r="A75" s="14" t="n"/>
      <c r="B75" s="80" t="n"/>
      <c r="C75" s="85" t="n"/>
      <c r="F75" s="14" t="n"/>
      <c r="G75" s="80" t="n"/>
      <c r="H75" s="85" t="n"/>
    </row>
    <row r="76">
      <c r="A76" s="14" t="n"/>
      <c r="B76" s="80" t="n"/>
      <c r="C76" s="85" t="n"/>
      <c r="F76" s="14" t="n"/>
      <c r="G76" s="80" t="n"/>
      <c r="H76" s="85" t="n"/>
    </row>
    <row r="77">
      <c r="A77" s="14" t="n"/>
      <c r="B77" s="80" t="n"/>
      <c r="C77" s="85" t="n"/>
      <c r="F77" s="14" t="n"/>
      <c r="G77" s="80" t="n"/>
      <c r="H77" s="85" t="n"/>
    </row>
    <row r="78">
      <c r="A78" s="14" t="n"/>
      <c r="B78" s="80" t="n"/>
      <c r="C78" s="85" t="n"/>
      <c r="F78" s="14" t="n"/>
      <c r="G78" s="80" t="n"/>
      <c r="H78" s="85" t="n"/>
    </row>
    <row r="79">
      <c r="A79" s="14" t="n"/>
      <c r="B79" s="80" t="n"/>
      <c r="C79" s="85" t="n"/>
      <c r="F79" s="14" t="n"/>
      <c r="G79" s="80" t="n"/>
      <c r="H79" s="85" t="n"/>
    </row>
    <row r="80">
      <c r="A80" s="14" t="n"/>
      <c r="B80" s="80" t="n"/>
      <c r="C80" s="85" t="n"/>
      <c r="F80" s="14" t="n"/>
      <c r="G80" s="80" t="n"/>
      <c r="H80" s="85" t="n"/>
    </row>
    <row r="81">
      <c r="A81" s="14" t="n"/>
      <c r="B81" s="80" t="n"/>
      <c r="C81" s="85" t="n"/>
      <c r="F81" s="14" t="n"/>
      <c r="G81" s="80" t="n"/>
      <c r="H81" s="85" t="n"/>
    </row>
    <row r="82">
      <c r="A82" s="14" t="n"/>
      <c r="B82" s="80" t="n"/>
      <c r="C82" s="85" t="n"/>
      <c r="F82" s="14" t="n"/>
      <c r="G82" s="80" t="n"/>
      <c r="H82" s="85" t="n"/>
    </row>
    <row r="83">
      <c r="A83" s="14" t="n"/>
      <c r="B83" s="80" t="n"/>
      <c r="C83" s="85" t="n"/>
      <c r="F83" s="14" t="n"/>
      <c r="G83" s="80" t="n"/>
      <c r="H83" s="85" t="n"/>
    </row>
    <row r="84">
      <c r="A84" s="14" t="n"/>
      <c r="B84" s="80" t="n"/>
      <c r="C84" s="85" t="n"/>
      <c r="F84" s="14" t="n"/>
      <c r="G84" s="80" t="n"/>
      <c r="H84" s="85" t="n"/>
    </row>
    <row r="85">
      <c r="A85" s="14" t="n"/>
      <c r="B85" s="80" t="n"/>
      <c r="C85" s="85" t="n"/>
      <c r="F85" s="14" t="n"/>
      <c r="G85" s="80" t="n"/>
      <c r="H85" s="85" t="n"/>
    </row>
    <row r="86">
      <c r="A86" s="14" t="n"/>
      <c r="B86" s="80" t="n"/>
      <c r="C86" s="85" t="n"/>
      <c r="F86" s="14" t="n"/>
      <c r="G86" s="80" t="n"/>
      <c r="H86" s="85" t="n"/>
    </row>
    <row r="87">
      <c r="A87" s="14" t="n"/>
      <c r="B87" s="80" t="n"/>
      <c r="C87" s="85" t="n"/>
      <c r="F87" s="14" t="n"/>
      <c r="G87" s="80" t="n"/>
      <c r="H87" s="85" t="n"/>
    </row>
    <row r="88">
      <c r="A88" s="14" t="n"/>
      <c r="B88" s="80" t="n"/>
      <c r="C88" s="85" t="n"/>
      <c r="F88" s="14" t="n"/>
      <c r="G88" s="80" t="n"/>
      <c r="H88" s="85" t="n"/>
    </row>
    <row r="89">
      <c r="A89" s="14" t="n"/>
      <c r="B89" s="80" t="n"/>
      <c r="C89" s="85" t="n"/>
      <c r="F89" s="14" t="n"/>
      <c r="G89" s="80" t="n"/>
      <c r="H89" s="85" t="n"/>
    </row>
    <row r="90">
      <c r="A90" s="14" t="n"/>
      <c r="B90" s="80" t="n"/>
      <c r="C90" s="85" t="n"/>
      <c r="F90" s="14" t="n"/>
      <c r="G90" s="80" t="n"/>
      <c r="H90" s="85" t="n"/>
    </row>
    <row r="91">
      <c r="A91" s="14" t="n"/>
      <c r="B91" s="80" t="n"/>
      <c r="C91" s="85" t="n"/>
      <c r="F91" s="14" t="n"/>
      <c r="G91" s="80" t="n"/>
      <c r="H91" s="85" t="n"/>
    </row>
    <row r="92">
      <c r="A92" s="14" t="n"/>
      <c r="B92" s="80" t="n"/>
      <c r="C92" s="85" t="n"/>
      <c r="F92" s="14" t="n"/>
      <c r="G92" s="80" t="n"/>
      <c r="H92" s="85" t="n"/>
    </row>
    <row r="93">
      <c r="A93" s="14" t="n"/>
      <c r="B93" s="80" t="n"/>
      <c r="C93" s="85" t="n"/>
      <c r="F93" s="14" t="n"/>
      <c r="G93" s="80" t="n"/>
      <c r="H93" s="85" t="n"/>
    </row>
    <row r="94">
      <c r="A94" s="14" t="n"/>
      <c r="B94" s="80" t="n"/>
      <c r="C94" s="85" t="n"/>
      <c r="F94" s="14" t="n"/>
      <c r="G94" s="80" t="n"/>
      <c r="H94" s="85" t="n"/>
    </row>
    <row r="95">
      <c r="A95" s="14" t="n"/>
      <c r="B95" s="80" t="n"/>
      <c r="C95" s="85" t="n"/>
      <c r="F95" s="14" t="n"/>
      <c r="G95" s="80" t="n"/>
      <c r="H95" s="85" t="n"/>
    </row>
    <row r="96">
      <c r="A96" s="14" t="n"/>
      <c r="B96" s="80" t="n"/>
      <c r="C96" s="85" t="n"/>
      <c r="F96" s="14" t="n"/>
      <c r="G96" s="80" t="n"/>
      <c r="H96" s="85" t="n"/>
    </row>
    <row r="97">
      <c r="A97" s="14" t="n"/>
      <c r="B97" s="80" t="n"/>
      <c r="C97" s="85" t="n"/>
      <c r="F97" s="14" t="n"/>
      <c r="G97" s="80" t="n"/>
      <c r="H97" s="85" t="n"/>
    </row>
    <row r="98">
      <c r="A98" s="14" t="n"/>
      <c r="B98" s="80" t="n"/>
      <c r="C98" s="85" t="n"/>
      <c r="F98" s="14" t="n"/>
      <c r="G98" s="80" t="n"/>
      <c r="H98" s="85" t="n"/>
    </row>
    <row r="99">
      <c r="A99" s="14" t="n"/>
      <c r="B99" s="80" t="n"/>
      <c r="C99" s="85" t="n"/>
      <c r="F99" s="14" t="n"/>
      <c r="G99" s="80" t="n"/>
      <c r="H99" s="85" t="n"/>
    </row>
    <row r="100">
      <c r="A100" s="14" t="n"/>
      <c r="B100" s="80" t="n"/>
      <c r="C100" s="85" t="n"/>
      <c r="F100" s="14" t="n"/>
      <c r="G100" s="80" t="n"/>
      <c r="H100" s="85" t="n"/>
    </row>
    <row r="101">
      <c r="A101" s="14" t="n"/>
      <c r="B101" s="80" t="n"/>
      <c r="C101" s="85" t="n"/>
      <c r="F101" s="14" t="n"/>
      <c r="G101" s="80" t="n"/>
      <c r="H101" s="85" t="n"/>
    </row>
    <row r="102">
      <c r="A102" s="14" t="n"/>
      <c r="B102" s="80" t="n"/>
      <c r="C102" s="85" t="n"/>
      <c r="F102" s="14" t="n"/>
      <c r="G102" s="80" t="n"/>
      <c r="H102" s="85" t="n"/>
    </row>
    <row r="103">
      <c r="A103" s="14" t="n"/>
      <c r="B103" s="80" t="n"/>
      <c r="C103" s="85" t="n"/>
      <c r="F103" s="14" t="n"/>
      <c r="G103" s="80" t="n"/>
      <c r="H103" s="85" t="n"/>
    </row>
    <row r="104">
      <c r="A104" s="14" t="n"/>
      <c r="B104" s="80" t="n"/>
      <c r="C104" s="85" t="n"/>
      <c r="F104" s="14" t="n"/>
      <c r="G104" s="80" t="n"/>
      <c r="H104" s="85" t="n"/>
    </row>
    <row r="105">
      <c r="A105" s="14" t="n"/>
      <c r="B105" s="80" t="n"/>
      <c r="C105" s="85" t="n"/>
      <c r="F105" s="14" t="n"/>
      <c r="G105" s="80" t="n"/>
      <c r="H105" s="85" t="n"/>
    </row>
    <row r="106">
      <c r="A106" s="14" t="n"/>
      <c r="B106" s="80" t="n"/>
      <c r="C106" s="85" t="n"/>
      <c r="F106" s="14" t="n"/>
      <c r="G106" s="80" t="n"/>
      <c r="H106" s="85" t="n"/>
    </row>
    <row r="107">
      <c r="A107" s="14" t="n"/>
      <c r="B107" s="80" t="n"/>
      <c r="C107" s="85" t="n"/>
      <c r="F107" s="14" t="n"/>
      <c r="G107" s="80" t="n"/>
      <c r="H107" s="85" t="n"/>
    </row>
    <row r="108">
      <c r="A108" s="14" t="n"/>
      <c r="B108" s="80" t="n"/>
      <c r="C108" s="85" t="n"/>
      <c r="F108" s="14" t="n"/>
      <c r="G108" s="80" t="n"/>
      <c r="H108" s="85" t="n"/>
    </row>
    <row r="109">
      <c r="A109" s="14" t="n"/>
      <c r="B109" s="80" t="n"/>
      <c r="C109" s="85" t="n"/>
      <c r="F109" s="14" t="n"/>
      <c r="G109" s="80" t="n"/>
      <c r="H109" s="85" t="n"/>
    </row>
    <row r="110">
      <c r="A110" s="14" t="n"/>
      <c r="B110" s="80" t="n"/>
      <c r="C110" s="85" t="n"/>
      <c r="F110" s="14" t="n"/>
      <c r="G110" s="80" t="n"/>
      <c r="H110" s="85" t="n"/>
    </row>
    <row r="111">
      <c r="A111" s="14" t="n"/>
      <c r="B111" s="80" t="n"/>
      <c r="C111" s="85" t="n"/>
      <c r="F111" s="14" t="n"/>
      <c r="G111" s="80" t="n"/>
      <c r="H111" s="85" t="n"/>
    </row>
    <row r="112">
      <c r="A112" s="14" t="n"/>
      <c r="B112" s="80" t="n"/>
      <c r="C112" s="85" t="n"/>
      <c r="F112" s="14" t="n"/>
      <c r="G112" s="80" t="n"/>
      <c r="H112" s="85" t="n"/>
    </row>
    <row r="113">
      <c r="A113" s="14" t="n"/>
      <c r="B113" s="80" t="n"/>
      <c r="C113" s="85" t="n"/>
      <c r="F113" s="14" t="n"/>
      <c r="G113" s="80" t="n"/>
      <c r="H113" s="85" t="n"/>
    </row>
    <row r="114">
      <c r="A114" s="14" t="n"/>
      <c r="B114" s="80" t="n"/>
      <c r="C114" s="85" t="n"/>
      <c r="F114" s="14" t="n"/>
      <c r="G114" s="80" t="n"/>
      <c r="H114" s="85" t="n"/>
    </row>
    <row r="115">
      <c r="A115" s="14" t="n"/>
      <c r="B115" s="80" t="n"/>
      <c r="C115" s="85" t="n"/>
      <c r="F115" s="14" t="n"/>
      <c r="G115" s="80" t="n"/>
      <c r="H115" s="85" t="n"/>
    </row>
    <row r="116">
      <c r="A116" s="14" t="n"/>
      <c r="B116" s="80" t="n"/>
      <c r="C116" s="85" t="n"/>
      <c r="F116" s="14" t="n"/>
      <c r="G116" s="80" t="n"/>
      <c r="H116" s="85" t="n"/>
    </row>
    <row r="117">
      <c r="A117" s="14" t="n"/>
      <c r="B117" s="80" t="n"/>
      <c r="C117" s="85" t="n"/>
      <c r="F117" s="14" t="n"/>
      <c r="G117" s="80" t="n"/>
      <c r="H117" s="85" t="n"/>
    </row>
    <row r="118">
      <c r="A118" s="14" t="n"/>
      <c r="B118" s="80" t="n"/>
      <c r="C118" s="85" t="n"/>
      <c r="F118" s="14" t="n"/>
      <c r="G118" s="80" t="n"/>
      <c r="H118" s="85" t="n"/>
    </row>
    <row r="119">
      <c r="A119" s="14" t="n"/>
      <c r="B119" s="80" t="n"/>
      <c r="C119" s="85" t="n"/>
      <c r="F119" s="14" t="n"/>
      <c r="G119" s="80" t="n"/>
      <c r="H119" s="85" t="n"/>
    </row>
    <row r="120">
      <c r="A120" s="14" t="n"/>
      <c r="B120" s="80" t="n"/>
      <c r="C120" s="85" t="n"/>
      <c r="F120" s="14" t="n"/>
      <c r="G120" s="80" t="n"/>
      <c r="H120" s="85" t="n"/>
    </row>
    <row r="121">
      <c r="A121" s="14" t="n"/>
      <c r="B121" s="80" t="n"/>
      <c r="C121" s="85" t="n"/>
      <c r="F121" s="14" t="n"/>
      <c r="G121" s="80" t="n"/>
      <c r="H121" s="85" t="n"/>
    </row>
    <row r="122">
      <c r="A122" s="14" t="n"/>
      <c r="B122" s="80" t="n"/>
      <c r="C122" s="85" t="n"/>
      <c r="F122" s="14" t="n"/>
      <c r="G122" s="80" t="n"/>
      <c r="H122" s="85" t="n"/>
    </row>
    <row r="123">
      <c r="A123" s="14" t="n"/>
      <c r="B123" s="80" t="n"/>
      <c r="C123" s="85" t="n"/>
      <c r="F123" s="14" t="n"/>
      <c r="G123" s="80" t="n"/>
      <c r="H123" s="85" t="n"/>
    </row>
    <row r="124">
      <c r="A124" s="14" t="n"/>
      <c r="B124" s="80" t="n"/>
      <c r="C124" s="85" t="n"/>
      <c r="F124" s="14" t="n"/>
      <c r="G124" s="80" t="n"/>
      <c r="H124" s="85" t="n"/>
    </row>
    <row r="125">
      <c r="A125" s="14" t="n"/>
      <c r="B125" s="80" t="n"/>
      <c r="C125" s="85" t="n"/>
      <c r="F125" s="14" t="n"/>
      <c r="G125" s="80" t="n"/>
      <c r="H125" s="85" t="n"/>
    </row>
    <row r="126">
      <c r="A126" s="14" t="n"/>
      <c r="B126" s="80" t="n"/>
      <c r="C126" s="85" t="n"/>
      <c r="F126" s="14" t="n"/>
      <c r="G126" s="80" t="n"/>
      <c r="H126" s="85" t="n"/>
    </row>
    <row r="127">
      <c r="A127" s="14" t="n"/>
      <c r="B127" s="80" t="n"/>
      <c r="C127" s="85" t="n"/>
      <c r="F127" s="14" t="n"/>
      <c r="G127" s="80" t="n"/>
      <c r="H127" s="85" t="n"/>
    </row>
    <row r="128">
      <c r="A128" s="14" t="n"/>
      <c r="B128" s="80" t="n"/>
      <c r="C128" s="85" t="n"/>
      <c r="F128" s="14" t="n"/>
      <c r="G128" s="80" t="n"/>
      <c r="H128" s="85" t="n"/>
    </row>
    <row r="129">
      <c r="A129" s="14" t="n"/>
      <c r="B129" s="80" t="n"/>
      <c r="C129" s="85" t="n"/>
      <c r="F129" s="14" t="n"/>
      <c r="G129" s="80" t="n"/>
      <c r="H129" s="85" t="n"/>
    </row>
    <row r="130">
      <c r="A130" s="14" t="n"/>
      <c r="B130" s="80" t="n"/>
      <c r="C130" s="85" t="n"/>
      <c r="F130" s="14" t="n"/>
      <c r="G130" s="80" t="n"/>
      <c r="H130" s="85" t="n"/>
    </row>
  </sheetData>
  <mergeCells count="23">
    <mergeCell ref="C48:F48"/>
    <mergeCell ref="B59:F59"/>
    <mergeCell ref="A2:F2"/>
    <mergeCell ref="A42:F42"/>
    <mergeCell ref="C49:F49"/>
    <mergeCell ref="A23:F23"/>
    <mergeCell ref="A8:F8"/>
    <mergeCell ref="B60:F60"/>
    <mergeCell ref="A17:F17"/>
    <mergeCell ref="C45:F45"/>
    <mergeCell ref="A13:F13"/>
    <mergeCell ref="A58:F58"/>
    <mergeCell ref="C47:F47"/>
    <mergeCell ref="C44:F44"/>
    <mergeCell ref="A51:F51"/>
    <mergeCell ref="A62:H62"/>
    <mergeCell ref="A36:F36"/>
    <mergeCell ref="A1:F1"/>
    <mergeCell ref="C43:F43"/>
    <mergeCell ref="D5:E5"/>
    <mergeCell ref="A63:H63"/>
    <mergeCell ref="C46:F46"/>
    <mergeCell ref="A25:F25"/>
  </mergeCells>
  <dataValidations count="2">
    <dataValidation sqref="B4" showDropDown="0" showInputMessage="0" showErrorMessage="0" allowBlank="0" type="list">
      <formula1>"1,2,3,4,5,6,7,8,9,10,11,12"</formula1>
    </dataValidation>
    <dataValidation sqref="D4" showDropDown="0" showInputMessage="0" showErrorMessage="0" allowBlank="0" type="list">
      <formula1>"1,2,3,4,5"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8B5E00"/>
    <outlinePr summaryBelow="1" summaryRight="1"/>
    <pageSetUpPr/>
  </sheetPr>
  <dimension ref="A1:I2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17" customWidth="1" min="3" max="3"/>
    <col width="17" customWidth="1" min="4" max="4"/>
    <col width="14" customWidth="1" min="5" max="5"/>
    <col width="15" customWidth="1" min="6" max="6"/>
    <col width="17" customWidth="1" min="7" max="7"/>
    <col width="22" customWidth="1" min="8" max="8"/>
    <col width="28" customWidth="1" min="9" max="9"/>
  </cols>
  <sheetData>
    <row r="1" ht="30" customHeight="1">
      <c r="A1" s="2" t="inlineStr">
        <is>
          <t>BIÊN BẢN NGHIỆM THU WEBSITE TIMVIEC123</t>
        </is>
      </c>
      <c r="B1" s="3" t="n"/>
      <c r="C1" s="3" t="n"/>
      <c r="D1" s="3" t="n"/>
      <c r="E1" s="3" t="n"/>
      <c r="F1" s="3" t="n"/>
      <c r="G1" s="3" t="n"/>
      <c r="H1" s="3" t="n"/>
      <c r="I1" s="3" t="n"/>
    </row>
    <row r="2" ht="30" customHeight="1">
      <c r="A2" s="18" t="inlineStr">
        <is>
          <t>Ô nền VÀNG = nhập tay. Ô nền trắng/xám có công thức = tự động lấy từ dữ liệu QA (02_UI_UX, 03_Tính_năng, 05_Lỗi_Tester) — không sửa tay. Phần nào chưa có dữ liệu nguồn thì để trống và ghi rõ trong mục 'Thông tin còn thiếu'.</t>
        </is>
      </c>
      <c r="B2" s="5" t="n"/>
      <c r="C2" s="5" t="n"/>
      <c r="D2" s="5" t="n"/>
      <c r="E2" s="5" t="n"/>
      <c r="F2" s="5" t="n"/>
      <c r="G2" s="5" t="n"/>
      <c r="H2" s="5" t="n"/>
      <c r="I2" s="5" t="n"/>
    </row>
    <row r="3" ht="8" customHeight="1"/>
    <row r="4" ht="22" customHeight="1">
      <c r="A4" s="11" t="inlineStr">
        <is>
          <t>I. THÔNG TIN CHUNG</t>
        </is>
      </c>
      <c r="B4" s="7" t="n"/>
      <c r="C4" s="7" t="n"/>
      <c r="D4" s="7" t="n"/>
      <c r="E4" s="7" t="n"/>
      <c r="F4" s="7" t="n"/>
      <c r="G4" s="7" t="n"/>
      <c r="H4" s="7" t="n"/>
      <c r="I4" s="7" t="n"/>
    </row>
    <row r="5" ht="24" customHeight="1">
      <c r="A5" s="86" t="inlineStr">
        <is>
          <t>Số biên bản</t>
        </is>
      </c>
      <c r="B5" s="87" t="n"/>
      <c r="C5" s="88" t="n"/>
      <c r="D5" s="86" t="inlineStr">
        <is>
          <t>Ngày lập</t>
        </is>
      </c>
      <c r="E5" s="89">
        <f>TODAY()</f>
        <v/>
      </c>
      <c r="F5" s="88" t="n"/>
      <c r="G5" s="86" t="inlineStr">
        <is>
          <t>Địa điểm lập</t>
        </is>
      </c>
      <c r="H5" s="87" t="n"/>
      <c r="I5" s="88" t="n"/>
    </row>
    <row r="6" ht="24" customHeight="1">
      <c r="A6" s="86" t="inlineStr">
        <is>
          <t>Tên dự án</t>
        </is>
      </c>
      <c r="B6" s="87" t="inlineStr">
        <is>
          <t>Website TimViec123</t>
        </is>
      </c>
      <c r="C6" s="88" t="n"/>
      <c r="D6" s="86" t="inlineStr">
        <is>
          <t>Tên miền / URL</t>
        </is>
      </c>
      <c r="E6" s="87" t="n"/>
      <c r="F6" s="88" t="n"/>
      <c r="G6" s="86" t="inlineStr">
        <is>
          <t>Môi trường nghiệm thu</t>
        </is>
      </c>
      <c r="H6" s="87" t="n"/>
      <c r="I6" s="88" t="n"/>
    </row>
    <row r="7" ht="24" customHeight="1">
      <c r="A7" s="86" t="inlineStr">
        <is>
          <t>Giai đoạn nghiệm thu</t>
        </is>
      </c>
      <c r="B7" s="87" t="inlineStr">
        <is>
          <t>Giai đoạn 1</t>
        </is>
      </c>
      <c r="C7" s="88" t="n"/>
      <c r="D7" s="86" t="inlineStr">
        <is>
          <t>Phiên bản / Release</t>
        </is>
      </c>
      <c r="E7" s="87" t="n"/>
      <c r="F7" s="88" t="n"/>
      <c r="G7" s="86" t="inlineStr">
        <is>
          <t>Kỳ kiểm thử (từ)</t>
        </is>
      </c>
      <c r="H7" s="89" t="n"/>
      <c r="I7" s="88" t="n"/>
    </row>
    <row r="8" ht="24" customHeight="1">
      <c r="A8" s="86" t="inlineStr">
        <is>
          <t>Kỳ kiểm thử (đến)</t>
        </is>
      </c>
      <c r="B8" s="89" t="n"/>
      <c r="C8" s="88" t="n"/>
      <c r="D8" s="86" t="inlineStr">
        <is>
          <t>Hợp đồng số</t>
        </is>
      </c>
      <c r="E8" s="87" t="n"/>
      <c r="F8" s="88" t="n"/>
      <c r="G8" s="86" t="inlineStr">
        <is>
          <t>Ngày hợp đồng</t>
        </is>
      </c>
      <c r="H8" s="89" t="n"/>
      <c r="I8" s="88" t="n"/>
    </row>
    <row r="9" ht="24" customHeight="1">
      <c r="A9" s="86" t="inlineStr">
        <is>
          <t>Tài liệu yêu cầu (SRS/BRD)</t>
        </is>
      </c>
      <c r="B9" s="87" t="n"/>
      <c r="C9" s="88" t="n"/>
      <c r="D9" s="86" t="inlineStr">
        <is>
          <t>Kế hoạch kiểm thử</t>
        </is>
      </c>
      <c r="E9" s="87" t="n"/>
      <c r="F9" s="88" t="n"/>
      <c r="G9" s="86" t="inlineStr">
        <is>
          <t>Lần nghiệm thu thứ</t>
        </is>
      </c>
      <c r="H9" s="87" t="n"/>
      <c r="I9" s="88" t="n"/>
    </row>
    <row r="10" ht="8" customHeight="1"/>
    <row r="11" ht="22" customHeight="1">
      <c r="A11" s="11" t="inlineStr">
        <is>
          <t>II. CÁC BÊN THAM GIA</t>
        </is>
      </c>
      <c r="B11" s="7" t="n"/>
      <c r="C11" s="7" t="n"/>
      <c r="D11" s="7" t="n"/>
      <c r="E11" s="7" t="n"/>
      <c r="F11" s="7" t="n"/>
      <c r="G11" s="7" t="n"/>
      <c r="H11" s="7" t="n"/>
      <c r="I11" s="7" t="n"/>
    </row>
    <row r="12" ht="32" customHeight="1">
      <c r="A12" s="90" t="inlineStr">
        <is>
          <t>Vai trò</t>
        </is>
      </c>
      <c r="B12" s="90" t="inlineStr">
        <is>
          <t>Đơn vị / Bộ phận</t>
        </is>
      </c>
      <c r="C12" s="90" t="inlineStr">
        <is>
          <t>Họ và tên</t>
        </is>
      </c>
      <c r="D12" s="90" t="inlineStr">
        <is>
          <t>Chức vụ</t>
        </is>
      </c>
      <c r="E12" s="90" t="inlineStr">
        <is>
          <t>Email</t>
        </is>
      </c>
      <c r="F12" s="90" t="inlineStr">
        <is>
          <t>Điện thoại</t>
        </is>
      </c>
      <c r="G12" s="90" t="inlineStr">
        <is>
          <t>Trách nhiệm</t>
        </is>
      </c>
      <c r="H12" s="90" t="inlineStr">
        <is>
          <t>Ghi chú</t>
        </is>
      </c>
      <c r="I12" s="90" t="inlineStr"/>
    </row>
    <row r="13" ht="24" customHeight="1">
      <c r="A13" s="91" t="inlineStr">
        <is>
          <t>Bên A — Chủ đầu tư</t>
        </is>
      </c>
      <c r="B13" s="92" t="n"/>
      <c r="C13" s="92" t="n"/>
      <c r="D13" s="93" t="n"/>
      <c r="E13" s="93" t="n"/>
      <c r="F13" s="93" t="n"/>
      <c r="G13" s="91" t="inlineStr">
        <is>
          <t>Phê duyệt &amp; ký nghiệm thu</t>
        </is>
      </c>
      <c r="H13" s="91" t="n"/>
      <c r="I13" s="94" t="n"/>
    </row>
    <row r="14" ht="24" customHeight="1">
      <c r="A14" s="95" t="inlineStr">
        <is>
          <t>Bên B — Đơn vị thực hiện</t>
        </is>
      </c>
      <c r="B14" s="92" t="n"/>
      <c r="C14" s="92" t="n"/>
      <c r="D14" s="93" t="n"/>
      <c r="E14" s="93" t="n"/>
      <c r="F14" s="93" t="n"/>
      <c r="G14" s="95" t="inlineStr">
        <is>
          <t>Bàn giao sản phẩm, xử lý lỗi</t>
        </is>
      </c>
      <c r="H14" s="95" t="n"/>
      <c r="I14" s="96" t="n"/>
    </row>
    <row r="15" ht="24" customHeight="1">
      <c r="A15" s="91" t="inlineStr">
        <is>
          <t>Quản lý dự án (PM)</t>
        </is>
      </c>
      <c r="B15" s="92" t="n"/>
      <c r="C15" s="92" t="n"/>
      <c r="D15" s="93" t="n"/>
      <c r="E15" s="93" t="n"/>
      <c r="F15" s="93" t="n"/>
      <c r="G15" s="91" t="inlineStr">
        <is>
          <t>Điều phối, chốt phạm vi</t>
        </is>
      </c>
      <c r="H15" s="91" t="n"/>
      <c r="I15" s="94" t="n"/>
    </row>
    <row r="16" ht="24" customHeight="1">
      <c r="A16" s="95" t="inlineStr">
        <is>
          <t>QA / Tester</t>
        </is>
      </c>
      <c r="B16" s="92" t="n"/>
      <c r="C16" s="92" t="inlineStr">
        <is>
          <t>Mr. Ẩn</t>
        </is>
      </c>
      <c r="D16" s="93" t="n"/>
      <c r="E16" s="93" t="n"/>
      <c r="F16" s="93" t="n"/>
      <c r="G16" s="95" t="inlineStr">
        <is>
          <t>Thực hiện kiểm thử, lập hồ sơ lỗi</t>
        </is>
      </c>
      <c r="H16" s="95" t="n"/>
      <c r="I16" s="96" t="n"/>
    </row>
    <row r="17" ht="24" customHeight="1">
      <c r="A17" s="91" t="inlineStr">
        <is>
          <t>Đại diện Dev</t>
        </is>
      </c>
      <c r="B17" s="92" t="n"/>
      <c r="C17" s="92" t="n"/>
      <c r="D17" s="93" t="n"/>
      <c r="E17" s="93" t="n"/>
      <c r="F17" s="93" t="n"/>
      <c r="G17" s="91" t="inlineStr">
        <is>
          <t>Sửa lỗi, xác nhận kỹ thuật</t>
        </is>
      </c>
      <c r="H17" s="91" t="n"/>
      <c r="I17" s="94" t="n"/>
    </row>
    <row r="18" ht="24" customHeight="1">
      <c r="A18" s="95" t="inlineStr">
        <is>
          <t>Người duyệt cuối</t>
        </is>
      </c>
      <c r="B18" s="92" t="n"/>
      <c r="C18" s="92" t="n"/>
      <c r="D18" s="93" t="n"/>
      <c r="E18" s="93" t="n"/>
      <c r="F18" s="93" t="n"/>
      <c r="G18" s="95" t="inlineStr">
        <is>
          <t>Ra kết luận nghiệm thu</t>
        </is>
      </c>
      <c r="H18" s="95" t="n"/>
      <c r="I18" s="96" t="n"/>
    </row>
    <row r="19" ht="8" customHeight="1"/>
    <row r="20" ht="22" customHeight="1">
      <c r="A20" s="11" t="inlineStr">
        <is>
          <t>III. PHẠM VI NGHIỆM THU</t>
        </is>
      </c>
      <c r="B20" s="7" t="n"/>
      <c r="C20" s="7" t="n"/>
      <c r="D20" s="7" t="n"/>
      <c r="E20" s="7" t="n"/>
      <c r="F20" s="7" t="n"/>
      <c r="G20" s="7" t="n"/>
      <c r="H20" s="7" t="n"/>
      <c r="I20" s="7" t="n"/>
    </row>
    <row r="21" ht="22" customHeight="1">
      <c r="A21" s="18" t="inlineStr">
        <is>
          <t>Nghiệm thu chỉ xét đúng các hạng mục liệt kê trong phạm vi. Hạng mục ngoài phạm vi không dùng làm lý do từ chối nghiệm thu.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</row>
    <row r="22" ht="32" customHeight="1">
      <c r="A22" s="90" t="inlineStr">
        <is>
          <t>Nhóm</t>
        </is>
      </c>
      <c r="B22" s="90" t="inlineStr">
        <is>
          <t>Nội dung trong phạm vi</t>
        </is>
      </c>
      <c r="C22" s="90" t="inlineStr">
        <is>
          <t>Số lượng trong phạm vi</t>
        </is>
      </c>
      <c r="D22" s="90" t="inlineStr">
        <is>
          <t>Tổng trên hệ thống</t>
        </is>
      </c>
      <c r="E22" s="90" t="inlineStr">
        <is>
          <t>Tỷ lệ phạm vi</t>
        </is>
      </c>
      <c r="F22" s="90" t="inlineStr">
        <is>
          <t>Tài liệu tham chiếu</t>
        </is>
      </c>
      <c r="G22" s="90" t="inlineStr">
        <is>
          <t>Ngoài phạm vi (loại trừ)</t>
        </is>
      </c>
      <c r="H22" s="90" t="inlineStr">
        <is>
          <t>Ghi chú</t>
        </is>
      </c>
      <c r="I22" s="90" t="inlineStr"/>
    </row>
    <row r="23" ht="24" customHeight="1">
      <c r="A23" s="91" t="inlineStr">
        <is>
          <t>Trang (DS)</t>
        </is>
      </c>
      <c r="B23" s="91" t="inlineStr">
        <is>
          <t>Danh sách DS được chốt nghiệm thu</t>
        </is>
      </c>
      <c r="C23" s="93" t="n"/>
      <c r="D23" s="97">
        <f>'z_Trang'!$B$1</f>
        <v/>
      </c>
      <c r="E23" s="98">
        <f>IFERROR(C23/D23,"")</f>
        <v/>
      </c>
      <c r="F23" s="92" t="n"/>
      <c r="G23" s="92" t="n"/>
      <c r="H23" s="92" t="n"/>
      <c r="I23" s="94" t="n"/>
    </row>
    <row r="24" ht="24" customHeight="1">
      <c r="A24" s="95" t="inlineStr">
        <is>
          <t>Tính năng (YC)</t>
        </is>
      </c>
      <c r="B24" s="95" t="inlineStr">
        <is>
          <t>Danh sách YC được chốt nghiệm thu</t>
        </is>
      </c>
      <c r="C24" s="93" t="n"/>
      <c r="D24" s="99">
        <f>'z_TinhNang'!$B$1</f>
        <v/>
      </c>
      <c r="E24" s="100">
        <f>IFERROR(C24/D24,"")</f>
        <v/>
      </c>
      <c r="F24" s="92" t="n"/>
      <c r="G24" s="92" t="n"/>
      <c r="H24" s="92" t="n"/>
      <c r="I24" s="96" t="n"/>
    </row>
    <row r="25" ht="24" customHeight="1">
      <c r="A25" s="91" t="inlineStr">
        <is>
          <t>Vai trò người dùng</t>
        </is>
      </c>
      <c r="B25" s="91" t="inlineStr">
        <is>
          <t>Khách / Ứng viên / Nhà tuyển dụng / Admin</t>
        </is>
      </c>
      <c r="C25" s="93" t="n"/>
      <c r="D25" s="93" t="n"/>
      <c r="E25" s="94" t="n"/>
      <c r="F25" s="92" t="n"/>
      <c r="G25" s="92" t="n"/>
      <c r="H25" s="92" t="n"/>
      <c r="I25" s="94" t="n"/>
    </row>
    <row r="26" ht="24" customHeight="1">
      <c r="A26" s="95" t="inlineStr">
        <is>
          <t>Tích hợp / API</t>
        </is>
      </c>
      <c r="B26" s="95" t="inlineStr">
        <is>
          <t>Danh sách tích hợp bên thứ ba</t>
        </is>
      </c>
      <c r="C26" s="93" t="n"/>
      <c r="D26" s="93" t="n"/>
      <c r="E26" s="96" t="n"/>
      <c r="F26" s="92" t="n"/>
      <c r="G26" s="92" t="n"/>
      <c r="H26" s="92" t="n"/>
      <c r="I26" s="96" t="n"/>
    </row>
    <row r="27" ht="8" customHeight="1"/>
    <row r="28" ht="22" customHeight="1">
      <c r="A28" s="11" t="inlineStr">
        <is>
          <t>IV. MÔI TRƯỜNG KIỂM THỬ</t>
        </is>
      </c>
      <c r="B28" s="7" t="n"/>
      <c r="C28" s="7" t="n"/>
      <c r="D28" s="7" t="n"/>
      <c r="E28" s="7" t="n"/>
      <c r="F28" s="7" t="n"/>
      <c r="G28" s="7" t="n"/>
      <c r="H28" s="7" t="n"/>
      <c r="I28" s="7" t="n"/>
    </row>
    <row r="29" ht="32" customHeight="1">
      <c r="A29" s="90" t="inlineStr">
        <is>
          <t>Hạng mục</t>
        </is>
      </c>
      <c r="B29" s="90" t="inlineStr">
        <is>
          <t>Cấu hình / danh sách cụ thể</t>
        </is>
      </c>
      <c r="C29" s="90" t="inlineStr">
        <is>
          <t>Phiên bản</t>
        </is>
      </c>
      <c r="D29" s="90" t="inlineStr">
        <is>
          <t>Đã kiểm thử</t>
        </is>
      </c>
      <c r="E29" s="90" t="inlineStr">
        <is>
          <t>Ghi chú</t>
        </is>
      </c>
      <c r="F29" s="90" t="inlineStr"/>
      <c r="G29" s="90" t="inlineStr"/>
      <c r="H29" s="90" t="inlineStr"/>
      <c r="I29" s="90" t="inlineStr"/>
    </row>
    <row r="30" ht="24" customHeight="1">
      <c r="A30" s="91" t="inlineStr">
        <is>
          <t>Trình duyệt Desktop</t>
        </is>
      </c>
      <c r="B30" s="92" t="n"/>
      <c r="C30" s="93" t="n"/>
      <c r="D30" s="93" t="n"/>
      <c r="E30" s="92" t="n"/>
      <c r="F30" s="94" t="n"/>
      <c r="G30" s="94" t="n"/>
      <c r="H30" s="94" t="n"/>
      <c r="I30" s="94" t="n"/>
    </row>
    <row r="31" ht="24" customHeight="1">
      <c r="A31" s="95" t="inlineStr">
        <is>
          <t>Trình duyệt Mobile</t>
        </is>
      </c>
      <c r="B31" s="92" t="n"/>
      <c r="C31" s="93" t="n"/>
      <c r="D31" s="93" t="n"/>
      <c r="E31" s="92" t="n"/>
      <c r="F31" s="96" t="n"/>
      <c r="G31" s="96" t="n"/>
      <c r="H31" s="96" t="n"/>
      <c r="I31" s="96" t="n"/>
    </row>
    <row r="32" ht="24" customHeight="1">
      <c r="A32" s="91" t="inlineStr">
        <is>
          <t>Thiết bị di động</t>
        </is>
      </c>
      <c r="B32" s="92" t="n"/>
      <c r="C32" s="93" t="n"/>
      <c r="D32" s="93" t="n"/>
      <c r="E32" s="92" t="n"/>
      <c r="F32" s="94" t="n"/>
      <c r="G32" s="94" t="n"/>
      <c r="H32" s="94" t="n"/>
      <c r="I32" s="94" t="n"/>
    </row>
    <row r="33" ht="24" customHeight="1">
      <c r="A33" s="95" t="inlineStr">
        <is>
          <t>Máy tính bảng</t>
        </is>
      </c>
      <c r="B33" s="92" t="n"/>
      <c r="C33" s="93" t="n"/>
      <c r="D33" s="93" t="n"/>
      <c r="E33" s="92" t="n"/>
      <c r="F33" s="96" t="n"/>
      <c r="G33" s="96" t="n"/>
      <c r="H33" s="96" t="n"/>
      <c r="I33" s="96" t="n"/>
    </row>
    <row r="34" ht="24" customHeight="1">
      <c r="A34" s="91" t="inlineStr">
        <is>
          <t>Độ phân giải chuẩn</t>
        </is>
      </c>
      <c r="B34" s="92" t="n"/>
      <c r="C34" s="93" t="n"/>
      <c r="D34" s="93" t="n"/>
      <c r="E34" s="92" t="n"/>
      <c r="F34" s="94" t="n"/>
      <c r="G34" s="94" t="n"/>
      <c r="H34" s="94" t="n"/>
      <c r="I34" s="94" t="n"/>
    </row>
    <row r="35" ht="24" customHeight="1">
      <c r="A35" s="95" t="inlineStr">
        <is>
          <t>Hệ điều hành</t>
        </is>
      </c>
      <c r="B35" s="92" t="n"/>
      <c r="C35" s="93" t="n"/>
      <c r="D35" s="93" t="n"/>
      <c r="E35" s="92" t="n"/>
      <c r="F35" s="96" t="n"/>
      <c r="G35" s="96" t="n"/>
      <c r="H35" s="96" t="n"/>
      <c r="I35" s="96" t="n"/>
    </row>
    <row r="36" ht="24" customHeight="1">
      <c r="A36" s="91" t="inlineStr">
        <is>
          <t>Tài khoản kiểm thử</t>
        </is>
      </c>
      <c r="B36" s="92" t="n"/>
      <c r="C36" s="93" t="n"/>
      <c r="D36" s="93" t="n"/>
      <c r="E36" s="92" t="n"/>
      <c r="F36" s="94" t="n"/>
      <c r="G36" s="94" t="n"/>
      <c r="H36" s="94" t="n"/>
      <c r="I36" s="94" t="n"/>
    </row>
    <row r="37" ht="24" customHeight="1">
      <c r="A37" s="95" t="inlineStr">
        <is>
          <t>Dữ liệu kiểm thử</t>
        </is>
      </c>
      <c r="B37" s="92" t="n"/>
      <c r="C37" s="93" t="n"/>
      <c r="D37" s="93" t="n"/>
      <c r="E37" s="92" t="n"/>
      <c r="F37" s="96" t="n"/>
      <c r="G37" s="96" t="n"/>
      <c r="H37" s="96" t="n"/>
      <c r="I37" s="96" t="n"/>
    </row>
    <row r="38" ht="24" customHeight="1">
      <c r="A38" s="91" t="inlineStr">
        <is>
          <t>Đường truyền / mạng</t>
        </is>
      </c>
      <c r="B38" s="92" t="n"/>
      <c r="C38" s="93" t="n"/>
      <c r="D38" s="93" t="n"/>
      <c r="E38" s="92" t="n"/>
      <c r="F38" s="94" t="n"/>
      <c r="G38" s="94" t="n"/>
      <c r="H38" s="94" t="n"/>
      <c r="I38" s="94" t="n"/>
    </row>
    <row r="39" ht="8" customHeight="1"/>
    <row r="40" ht="22" customHeight="1">
      <c r="A40" s="11" t="inlineStr">
        <is>
          <t>V. TIÊU CHÍ NGHIỆM THU (ACCEPTANCE / EXIT CRITERIA)</t>
        </is>
      </c>
      <c r="B40" s="7" t="n"/>
      <c r="C40" s="7" t="n"/>
      <c r="D40" s="7" t="n"/>
      <c r="E40" s="7" t="n"/>
      <c r="F40" s="7" t="n"/>
      <c r="G40" s="7" t="n"/>
      <c r="H40" s="7" t="n"/>
      <c r="I40" s="7" t="n"/>
    </row>
    <row r="41" ht="22" customHeight="1">
      <c r="A41" s="18" t="inlineStr">
        <is>
          <t>Ngưỡng bắt buộc do hai bên chốt trước khi kiểm thử. Kết quả thực tế tự động tính; đánh giá tự so sánh với ngưỡng.</t>
        </is>
      </c>
      <c r="B41" s="5" t="n"/>
      <c r="C41" s="5" t="n"/>
      <c r="D41" s="5" t="n"/>
      <c r="E41" s="5" t="n"/>
      <c r="F41" s="5" t="n"/>
      <c r="G41" s="5" t="n"/>
      <c r="H41" s="5" t="n"/>
      <c r="I41" s="5" t="n"/>
    </row>
    <row r="42" ht="32" customHeight="1">
      <c r="A42" s="90" t="inlineStr">
        <is>
          <t>Mã</t>
        </is>
      </c>
      <c r="B42" s="90" t="inlineStr">
        <is>
          <t>Tiêu chí</t>
        </is>
      </c>
      <c r="C42" s="90" t="inlineStr">
        <is>
          <t>Ngưỡng bắt buộc</t>
        </is>
      </c>
      <c r="D42" s="90" t="inlineStr">
        <is>
          <t>Kết quả thực tế</t>
        </is>
      </c>
      <c r="E42" s="90" t="inlineStr">
        <is>
          <t>Đánh giá</t>
        </is>
      </c>
      <c r="F42" s="90" t="inlineStr">
        <is>
          <t>Bắt buộc?</t>
        </is>
      </c>
      <c r="G42" s="90" t="inlineStr">
        <is>
          <t>Nguồn số liệu</t>
        </is>
      </c>
      <c r="H42" s="90" t="inlineStr">
        <is>
          <t>Ghi chú</t>
        </is>
      </c>
      <c r="I42" s="90" t="inlineStr"/>
    </row>
    <row r="43" ht="24" customHeight="1">
      <c r="A43" s="91" t="inlineStr">
        <is>
          <t>TC01</t>
        </is>
      </c>
      <c r="B43" s="91" t="inlineStr">
        <is>
          <t>Lỗi Critical đang mở</t>
        </is>
      </c>
      <c r="C43" s="101" t="n">
        <v>0</v>
      </c>
      <c r="D43" s="97">
        <f>(COUNTIFS('z_Loi'!$U:$U,"Open",'z_Loi'!$L:$L,"Critical")+COUNTIFS('z_Loi'!$U:$U,"Chưa gửi Dev",'z_Loi'!$L:$L,"Critical"))</f>
        <v/>
      </c>
      <c r="E43" s="102">
        <f>IF(C43="","Chưa chốt ngưỡng",IF(D43&lt;=C43,"Đạt","Chưa đạt"))</f>
        <v/>
      </c>
      <c r="F43" s="94" t="inlineStr">
        <is>
          <t>Bắt buộc</t>
        </is>
      </c>
      <c r="G43" s="91" t="inlineStr">
        <is>
          <t>05_Lỗi_Tester (L, U)</t>
        </is>
      </c>
      <c r="H43" s="92" t="n"/>
      <c r="I43" s="94" t="n"/>
    </row>
    <row r="44" ht="24" customHeight="1">
      <c r="A44" s="95" t="inlineStr">
        <is>
          <t>TC02</t>
        </is>
      </c>
      <c r="B44" s="95" t="inlineStr">
        <is>
          <t>Lỗi High đang mở</t>
        </is>
      </c>
      <c r="C44" s="101" t="n">
        <v>0</v>
      </c>
      <c r="D44" s="99">
        <f>(COUNTIFS('z_Loi'!$U:$U,"Open",'z_Loi'!$L:$L,"High")+COUNTIFS('z_Loi'!$U:$U,"Chưa gửi Dev",'z_Loi'!$L:$L,"High"))</f>
        <v/>
      </c>
      <c r="E44" s="103">
        <f>IF(C44="","Chưa chốt ngưỡng",IF(D44&lt;=C44,"Đạt","Chưa đạt"))</f>
        <v/>
      </c>
      <c r="F44" s="96" t="inlineStr">
        <is>
          <t>Bắt buộc</t>
        </is>
      </c>
      <c r="G44" s="95" t="inlineStr">
        <is>
          <t>05_Lỗi_Tester (L, U)</t>
        </is>
      </c>
      <c r="H44" s="92" t="n"/>
      <c r="I44" s="96" t="n"/>
    </row>
    <row r="45" ht="24" customHeight="1">
      <c r="A45" s="91" t="inlineStr">
        <is>
          <t>TC03</t>
        </is>
      </c>
      <c r="B45" s="91" t="inlineStr">
        <is>
          <t>Lỗi Medium đang mở</t>
        </is>
      </c>
      <c r="C45" s="101" t="n">
        <v>5</v>
      </c>
      <c r="D45" s="97">
        <f>(COUNTIFS('z_Loi'!$U:$U,"Open",'z_Loi'!$L:$L,"Medium")+COUNTIFS('z_Loi'!$U:$U,"Chưa gửi Dev",'z_Loi'!$L:$L,"Medium"))</f>
        <v/>
      </c>
      <c r="E45" s="102">
        <f>IF(C45="","Chưa chốt ngưỡng",IF(D45&lt;=C45,"Đạt","Chưa đạt"))</f>
        <v/>
      </c>
      <c r="F45" s="94" t="inlineStr">
        <is>
          <t>Bắt buộc</t>
        </is>
      </c>
      <c r="G45" s="91" t="inlineStr">
        <is>
          <t>05_Lỗi_Tester (L, U)</t>
        </is>
      </c>
      <c r="H45" s="92" t="n"/>
      <c r="I45" s="94" t="n"/>
    </row>
    <row r="46" ht="24" customHeight="1">
      <c r="A46" s="95" t="inlineStr">
        <is>
          <t>TC04</t>
        </is>
      </c>
      <c r="B46" s="95" t="inlineStr">
        <is>
          <t>Lỗi Low đang mở</t>
        </is>
      </c>
      <c r="C46" s="101" t="n"/>
      <c r="D46" s="99">
        <f>(COUNTIFS('z_Loi'!$U:$U,"Open",'z_Loi'!$L:$L,"Low")+COUNTIFS('z_Loi'!$U:$U,"Chưa gửi Dev",'z_Loi'!$L:$L,"Low"))</f>
        <v/>
      </c>
      <c r="E46" s="103">
        <f>IF(C46="","Chưa chốt ngưỡng",IF(D46&lt;=C46,"Đạt","Chưa đạt"))</f>
        <v/>
      </c>
      <c r="F46" s="96" t="inlineStr">
        <is>
          <t>Khuyến nghị</t>
        </is>
      </c>
      <c r="G46" s="95" t="inlineStr">
        <is>
          <t>05_Lỗi_Tester (L, U)</t>
        </is>
      </c>
      <c r="H46" s="92" t="n"/>
      <c r="I46" s="96" t="n"/>
    </row>
    <row r="47" ht="24" customHeight="1">
      <c r="A47" s="91" t="inlineStr">
        <is>
          <t>TC05</t>
        </is>
      </c>
      <c r="B47" s="91" t="inlineStr">
        <is>
          <t>Tỷ lệ trang hoàn thành kiểm thử</t>
        </is>
      </c>
      <c r="C47" s="104" t="n">
        <v>1</v>
      </c>
      <c r="D47" s="98">
        <f>'z_Trang'!$F$1</f>
        <v/>
      </c>
      <c r="E47" s="102">
        <f>IF(C47="","Chưa chốt ngưỡng",IF(D47&gt;=C47,"Đạt","Chưa đạt"))</f>
        <v/>
      </c>
      <c r="F47" s="94" t="inlineStr">
        <is>
          <t>Bắt buộc</t>
        </is>
      </c>
      <c r="G47" s="91" t="inlineStr">
        <is>
          <t>02_UI_UX</t>
        </is>
      </c>
      <c r="H47" s="92" t="n"/>
      <c r="I47" s="94" t="n"/>
    </row>
    <row r="48" ht="24" customHeight="1">
      <c r="A48" s="95" t="inlineStr">
        <is>
          <t>TC06</t>
        </is>
      </c>
      <c r="B48" s="95" t="inlineStr">
        <is>
          <t>Tỷ lệ tính năng hoàn thành kiểm thử</t>
        </is>
      </c>
      <c r="C48" s="104" t="n">
        <v>1</v>
      </c>
      <c r="D48" s="100">
        <f>'z_TinhNang'!$F$1</f>
        <v/>
      </c>
      <c r="E48" s="103">
        <f>IF(C48="","Chưa chốt ngưỡng",IF(D48&gt;=C48,"Đạt","Chưa đạt"))</f>
        <v/>
      </c>
      <c r="F48" s="96" t="inlineStr">
        <is>
          <t>Bắt buộc</t>
        </is>
      </c>
      <c r="G48" s="95" t="inlineStr">
        <is>
          <t>03_Tính_năng</t>
        </is>
      </c>
      <c r="H48" s="92" t="n"/>
      <c r="I48" s="96" t="n"/>
    </row>
    <row r="49" ht="24" customHeight="1">
      <c r="A49" s="91" t="inlineStr">
        <is>
          <t>TC07</t>
        </is>
      </c>
      <c r="B49" s="91" t="inlineStr">
        <is>
          <t>Tỷ lệ lỗi đã xử lý (Fixed/Verified/Closed)</t>
        </is>
      </c>
      <c r="C49" s="104" t="n">
        <v>0.95</v>
      </c>
      <c r="D49" s="98">
        <f>IFERROR((COUNTIF('z_Loi'!$U:$U,"Fixed")+COUNTIF('z_Loi'!$U:$U,"Verified")+COUNTIF('z_Loi'!$U:$U,"Closed"))/(COUNTA('z_Loi'!$E:$E)-1),0)</f>
        <v/>
      </c>
      <c r="E49" s="102">
        <f>IF(C49="","Chưa chốt ngưỡng",IF(D49&gt;=C49,"Đạt","Chưa đạt"))</f>
        <v/>
      </c>
      <c r="F49" s="94" t="inlineStr">
        <is>
          <t>Bắt buộc</t>
        </is>
      </c>
      <c r="G49" s="91" t="inlineStr">
        <is>
          <t>05_Lỗi_Tester (U)</t>
        </is>
      </c>
      <c r="H49" s="92" t="n"/>
      <c r="I49" s="94" t="n"/>
    </row>
    <row r="50" ht="24" customHeight="1">
      <c r="A50" s="95" t="inlineStr">
        <is>
          <t>TC08</t>
        </is>
      </c>
      <c r="B50" s="95" t="inlineStr">
        <is>
          <t>Tỷ lệ lỗi đã retest đạt (Verified/Closed)</t>
        </is>
      </c>
      <c r="C50" s="104" t="n">
        <v>0.9</v>
      </c>
      <c r="D50" s="100">
        <f>IFERROR((COUNTIF('z_Loi'!$U:$U,"Verified")+COUNTIF('z_Loi'!$U:$U,"Closed"))/(COUNTA('z_Loi'!$E:$E)-1),0)</f>
        <v/>
      </c>
      <c r="E50" s="103">
        <f>IF(C50="","Chưa chốt ngưỡng",IF(D50&gt;=C50,"Đạt","Chưa đạt"))</f>
        <v/>
      </c>
      <c r="F50" s="96" t="inlineStr">
        <is>
          <t>Bắt buộc</t>
        </is>
      </c>
      <c r="G50" s="95" t="inlineStr">
        <is>
          <t>05_Lỗi_Tester (U)</t>
        </is>
      </c>
      <c r="H50" s="92" t="n"/>
      <c r="I50" s="96" t="n"/>
    </row>
    <row r="51" ht="24" customHeight="1">
      <c r="A51" s="91" t="inlineStr">
        <is>
          <t>TC09</t>
        </is>
      </c>
      <c r="B51" s="91" t="inlineStr">
        <is>
          <t>Tỷ lệ Test Case Pass</t>
        </is>
      </c>
      <c r="C51" s="104" t="n"/>
      <c r="D51" s="104" t="n"/>
      <c r="E51" s="102">
        <f>IF(C51="","Chưa chốt ngưỡng",IF(D51&gt;=C51,"Đạt","Chưa đạt"))</f>
        <v/>
      </c>
      <c r="F51" s="94" t="inlineStr">
        <is>
          <t>Bắt buộc</t>
        </is>
      </c>
      <c r="G51" s="91" t="inlineStr">
        <is>
          <t>06_RTM_Dev_Test — CHƯA CÓ SỐ</t>
        </is>
      </c>
      <c r="H51" s="92" t="n"/>
      <c r="I51" s="94" t="n"/>
    </row>
    <row r="52" ht="24" customHeight="1">
      <c r="A52" s="95" t="inlineStr">
        <is>
          <t>TC10</t>
        </is>
      </c>
      <c r="B52" s="95" t="inlineStr">
        <is>
          <t>Độ phủ yêu cầu (RTM: YC có Test Case)</t>
        </is>
      </c>
      <c r="C52" s="104" t="n"/>
      <c r="D52" s="104" t="n"/>
      <c r="E52" s="103">
        <f>IF(C52="","Chưa chốt ngưỡng",IF(D52&gt;=C52,"Đạt","Chưa đạt"))</f>
        <v/>
      </c>
      <c r="F52" s="96" t="inlineStr">
        <is>
          <t>Bắt buộc</t>
        </is>
      </c>
      <c r="G52" s="95" t="inlineStr">
        <is>
          <t>06_RTM_Dev_Test — CHƯA CÓ SỐ</t>
        </is>
      </c>
      <c r="H52" s="92" t="n"/>
      <c r="I52" s="96" t="n"/>
    </row>
    <row r="53" ht="24" customHeight="1">
      <c r="A53" s="91" t="inlineStr">
        <is>
          <t>TC11</t>
        </is>
      </c>
      <c r="B53" s="91" t="inlineStr">
        <is>
          <t>Lỗi bảo mật Critical/High đang mở</t>
        </is>
      </c>
      <c r="C53" s="101" t="n">
        <v>0</v>
      </c>
      <c r="D53" s="97">
        <f>(COUNTIFS('z_Loi'!$U:$U,"Open",'z_Loi'!$K:$K,"*Security*",'z_Loi'!$L:$L,"Critical")+COUNTIFS('z_Loi'!$U:$U,"Chưa gửi Dev",'z_Loi'!$K:$K,"*Security*",'z_Loi'!$L:$L,"Critical")+COUNTIFS('z_Loi'!$U:$U,"Open",'z_Loi'!$K:$K,"*Security*",'z_Loi'!$L:$L,"High")+COUNTIFS('z_Loi'!$U:$U,"Chưa gửi Dev",'z_Loi'!$K:$K,"*Security*",'z_Loi'!$L:$L,"High"))</f>
        <v/>
      </c>
      <c r="E53" s="102">
        <f>IF(C53="","Chưa chốt ngưỡng",IF(D53&lt;=C53,"Đạt","Chưa đạt"))</f>
        <v/>
      </c>
      <c r="F53" s="94" t="inlineStr">
        <is>
          <t>Bắt buộc</t>
        </is>
      </c>
      <c r="G53" s="91" t="inlineStr">
        <is>
          <t>05_Lỗi_Tester (K, L, U)</t>
        </is>
      </c>
      <c r="H53" s="92" t="n"/>
      <c r="I53" s="94" t="n"/>
    </row>
    <row r="54" ht="24" customHeight="1">
      <c r="A54" s="95" t="inlineStr">
        <is>
          <t>TC12</t>
        </is>
      </c>
      <c r="B54" s="95" t="inlineStr">
        <is>
          <t>Lỗi Responsive Critical/High đang mở</t>
        </is>
      </c>
      <c r="C54" s="101" t="n">
        <v>0</v>
      </c>
      <c r="D54" s="99">
        <f>(COUNTIFS('z_Loi'!$U:$U,"Open",'z_Loi'!$K:$K,"*Responsive*",'z_Loi'!$L:$L,"Critical")+COUNTIFS('z_Loi'!$U:$U,"Chưa gửi Dev",'z_Loi'!$K:$K,"*Responsive*",'z_Loi'!$L:$L,"Critical")+COUNTIFS('z_Loi'!$U:$U,"Open",'z_Loi'!$K:$K,"*Responsive*",'z_Loi'!$L:$L,"High")+COUNTIFS('z_Loi'!$U:$U,"Chưa gửi Dev",'z_Loi'!$K:$K,"*Responsive*",'z_Loi'!$L:$L,"High"))</f>
        <v/>
      </c>
      <c r="E54" s="103">
        <f>IF(C54="","Chưa chốt ngưỡng",IF(D54&lt;=C54,"Đạt","Chưa đạt"))</f>
        <v/>
      </c>
      <c r="F54" s="96" t="inlineStr">
        <is>
          <t>Bắt buộc</t>
        </is>
      </c>
      <c r="G54" s="95" t="inlineStr">
        <is>
          <t>05_Lỗi_Tester (K, L, U)</t>
        </is>
      </c>
      <c r="H54" s="92" t="n"/>
      <c r="I54" s="96" t="n"/>
    </row>
    <row r="55" ht="24" customHeight="1">
      <c r="A55" s="91" t="inlineStr">
        <is>
          <t>TC13</t>
        </is>
      </c>
      <c r="B55" s="91" t="inlineStr">
        <is>
          <t>Hiệu năng trang chủ (điểm PageSpeed / LCP)</t>
        </is>
      </c>
      <c r="C55" s="101" t="n"/>
      <c r="D55" s="101" t="n"/>
      <c r="E55" s="105" t="n"/>
      <c r="F55" s="94" t="inlineStr">
        <is>
          <t>Bắt buộc</t>
        </is>
      </c>
      <c r="G55" s="91" t="inlineStr">
        <is>
          <t>Đo bằng công cụ — CHƯA CÓ SỐ</t>
        </is>
      </c>
      <c r="H55" s="92" t="n"/>
      <c r="I55" s="94" t="n"/>
    </row>
    <row r="56" ht="24" customHeight="1">
      <c r="A56" s="95" t="inlineStr">
        <is>
          <t>TC14</t>
        </is>
      </c>
      <c r="B56" s="95" t="inlineStr">
        <is>
          <t>Tương thích đủ danh mục trình duyệt/thiết bị đã chốt</t>
        </is>
      </c>
      <c r="C56" s="101" t="n"/>
      <c r="D56" s="101" t="n"/>
      <c r="E56" s="105" t="n"/>
      <c r="F56" s="96" t="inlineStr">
        <is>
          <t>Bắt buộc</t>
        </is>
      </c>
      <c r="G56" s="95" t="inlineStr">
        <is>
          <t>Mục IV — CHƯA CÓ SỐ</t>
        </is>
      </c>
      <c r="H56" s="92" t="n"/>
      <c r="I56" s="96" t="n"/>
    </row>
    <row r="57" ht="24" customHeight="1">
      <c r="A57" s="91" t="inlineStr">
        <is>
          <t>TC15</t>
        </is>
      </c>
      <c r="B57" s="91" t="inlineStr">
        <is>
          <t>Bằng chứng kiểm thử đầy đủ (ảnh/video/link retest)</t>
        </is>
      </c>
      <c r="C57" s="101" t="n"/>
      <c r="D57" s="101" t="n"/>
      <c r="E57" s="105" t="n"/>
      <c r="F57" s="94" t="inlineStr">
        <is>
          <t>Bắt buộc</t>
        </is>
      </c>
      <c r="G57" s="91" t="inlineStr">
        <is>
          <t>05_Lỗi_Tester (O, P)</t>
        </is>
      </c>
      <c r="H57" s="92" t="n"/>
      <c r="I57" s="94" t="n"/>
    </row>
    <row r="58" ht="24" customHeight="1">
      <c r="A58" s="95" t="inlineStr">
        <is>
          <t>TC16</t>
        </is>
      </c>
      <c r="B58" s="95" t="inlineStr">
        <is>
          <t>Không còn lỗi hồi quy (regression) đang mở</t>
        </is>
      </c>
      <c r="C58" s="101" t="n"/>
      <c r="D58" s="101" t="n"/>
      <c r="E58" s="105" t="n"/>
      <c r="F58" s="96" t="inlineStr">
        <is>
          <t>Bắt buộc</t>
        </is>
      </c>
      <c r="G58" s="95" t="inlineStr">
        <is>
          <t>Kết quả retest — CHƯA CÓ SỐ</t>
        </is>
      </c>
      <c r="H58" s="92" t="n"/>
      <c r="I58" s="96" t="n"/>
    </row>
    <row r="59" ht="24" customHeight="1">
      <c r="A59" s="91" t="inlineStr">
        <is>
          <t>TC17</t>
        </is>
      </c>
      <c r="B59" s="91" t="inlineStr">
        <is>
          <t>Tài liệu bàn giao đầy đủ</t>
        </is>
      </c>
      <c r="C59" s="101" t="n"/>
      <c r="D59" s="101" t="n"/>
      <c r="E59" s="105" t="n"/>
      <c r="F59" s="94" t="inlineStr">
        <is>
          <t>Bắt buộc</t>
        </is>
      </c>
      <c r="G59" s="91" t="inlineStr">
        <is>
          <t>Mục XII</t>
        </is>
      </c>
      <c r="H59" s="92" t="n"/>
      <c r="I59" s="94" t="n"/>
    </row>
    <row r="60" ht="8" customHeight="1"/>
    <row r="61" ht="22" customHeight="1">
      <c r="A61" s="11" t="inlineStr">
        <is>
          <t>VI. ĐỊNH NGHĨA MỨC ĐỘ LỖI VÀ SLA XỬ LÝ</t>
        </is>
      </c>
      <c r="B61" s="7" t="n"/>
      <c r="C61" s="7" t="n"/>
      <c r="D61" s="7" t="n"/>
      <c r="E61" s="7" t="n"/>
      <c r="F61" s="7" t="n"/>
      <c r="G61" s="7" t="n"/>
      <c r="H61" s="7" t="n"/>
      <c r="I61" s="7" t="n"/>
    </row>
    <row r="62" ht="32" customHeight="1">
      <c r="A62" s="90" t="inlineStr">
        <is>
          <t>Mức độ</t>
        </is>
      </c>
      <c r="B62" s="90" t="inlineStr">
        <is>
          <t>Định nghĩa</t>
        </is>
      </c>
      <c r="C62" s="90" t="inlineStr">
        <is>
          <t>Ảnh hưởng</t>
        </is>
      </c>
      <c r="D62" s="90" t="inlineStr">
        <is>
          <t>SLA xử lý (giờ/ngày)</t>
        </is>
      </c>
      <c r="E62" s="90" t="inlineStr">
        <is>
          <t>Chặn nghiệm thu?</t>
        </is>
      </c>
      <c r="F62" s="90" t="inlineStr">
        <is>
          <t>Số lỗi hiện có</t>
        </is>
      </c>
      <c r="G62" s="90" t="inlineStr">
        <is>
          <t>Đang mở</t>
        </is>
      </c>
      <c r="H62" s="90" t="inlineStr">
        <is>
          <t>Ghi chú</t>
        </is>
      </c>
      <c r="I62" s="90" t="inlineStr"/>
    </row>
    <row r="63" ht="24" customHeight="1">
      <c r="A63" s="91" t="inlineStr">
        <is>
          <t>Critical</t>
        </is>
      </c>
      <c r="B63" s="91" t="inlineStr">
        <is>
          <t>Chặn luồng nghiệp vụ chính, mất dữ liệu, lỗ hổng bảo mật nghiêm trọng</t>
        </is>
      </c>
      <c r="C63" s="91" t="inlineStr">
        <is>
          <t>Không thể sử dụng</t>
        </is>
      </c>
      <c r="D63" s="93" t="n"/>
      <c r="E63" s="94" t="inlineStr">
        <is>
          <t>Có</t>
        </is>
      </c>
      <c r="F63" s="97">
        <f>COUNTIF('z_Loi'!$L:$L,"Critical")</f>
        <v/>
      </c>
      <c r="G63" s="97">
        <f>(COUNTIFS('z_Loi'!$U:$U,"Open",'z_Loi'!$L:$L,"Critical")+COUNTIFS('z_Loi'!$U:$U,"Chưa gửi Dev",'z_Loi'!$L:$L,"Critical"))</f>
        <v/>
      </c>
      <c r="H63" s="92" t="n"/>
      <c r="I63" s="94" t="n"/>
    </row>
    <row r="64" ht="24" customHeight="1">
      <c r="A64" s="95" t="inlineStr">
        <is>
          <t>High</t>
        </is>
      </c>
      <c r="B64" s="95" t="inlineStr">
        <is>
          <t>Sai nghiệp vụ, tính năng chính không hoạt động đúng</t>
        </is>
      </c>
      <c r="C64" s="95" t="inlineStr">
        <is>
          <t>Ảnh hưởng lớn</t>
        </is>
      </c>
      <c r="D64" s="93" t="n"/>
      <c r="E64" s="96" t="inlineStr">
        <is>
          <t>Có</t>
        </is>
      </c>
      <c r="F64" s="99">
        <f>COUNTIF('z_Loi'!$L:$L,"High")</f>
        <v/>
      </c>
      <c r="G64" s="99">
        <f>(COUNTIFS('z_Loi'!$U:$U,"Open",'z_Loi'!$L:$L,"High")+COUNTIFS('z_Loi'!$U:$U,"Chưa gửi Dev",'z_Loi'!$L:$L,"High"))</f>
        <v/>
      </c>
      <c r="H64" s="92" t="n"/>
      <c r="I64" s="96" t="n"/>
    </row>
    <row r="65" ht="24" customHeight="1">
      <c r="A65" s="91" t="inlineStr">
        <is>
          <t>Medium</t>
        </is>
      </c>
      <c r="B65" s="91" t="inlineStr">
        <is>
          <t>Sai lệch hiển thị/nghiệp vụ phụ, có cách làm thay thế</t>
        </is>
      </c>
      <c r="C65" s="91" t="inlineStr">
        <is>
          <t>Ảnh hưởng vừa</t>
        </is>
      </c>
      <c r="D65" s="93" t="n"/>
      <c r="E65" s="94" t="inlineStr">
        <is>
          <t>Theo ngưỡng TC03</t>
        </is>
      </c>
      <c r="F65" s="97">
        <f>COUNTIF('z_Loi'!$L:$L,"Medium")</f>
        <v/>
      </c>
      <c r="G65" s="97">
        <f>(COUNTIFS('z_Loi'!$U:$U,"Open",'z_Loi'!$L:$L,"Medium")+COUNTIFS('z_Loi'!$U:$U,"Chưa gửi Dev",'z_Loi'!$L:$L,"Medium"))</f>
        <v/>
      </c>
      <c r="H65" s="92" t="n"/>
      <c r="I65" s="94" t="n"/>
    </row>
    <row r="66" ht="24" customHeight="1">
      <c r="A66" s="95" t="inlineStr">
        <is>
          <t>Low</t>
        </is>
      </c>
      <c r="B66" s="95" t="inlineStr">
        <is>
          <t>Lỗi nhỏ về giao diện, chính tả, trải nghiệm</t>
        </is>
      </c>
      <c r="C66" s="95" t="inlineStr">
        <is>
          <t>Ảnh hưởng thấp</t>
        </is>
      </c>
      <c r="D66" s="93" t="n"/>
      <c r="E66" s="96" t="inlineStr">
        <is>
          <t>Không</t>
        </is>
      </c>
      <c r="F66" s="99">
        <f>COUNTIF('z_Loi'!$L:$L,"Low")</f>
        <v/>
      </c>
      <c r="G66" s="99">
        <f>(COUNTIFS('z_Loi'!$U:$U,"Open",'z_Loi'!$L:$L,"Low")+COUNTIFS('z_Loi'!$U:$U,"Chưa gửi Dev",'z_Loi'!$L:$L,"Low"))</f>
        <v/>
      </c>
      <c r="H66" s="92" t="n"/>
      <c r="I66" s="96" t="n"/>
    </row>
    <row r="67" ht="8" customHeight="1"/>
    <row r="68" ht="22" customHeight="1">
      <c r="A68" s="11" t="inlineStr">
        <is>
          <t>VII. KẾT QUẢ KIỂM THỬ — TỔNG HỢP (tự động)</t>
        </is>
      </c>
      <c r="B68" s="7" t="n"/>
      <c r="C68" s="7" t="n"/>
      <c r="D68" s="7" t="n"/>
      <c r="E68" s="7" t="n"/>
      <c r="F68" s="7" t="n"/>
      <c r="G68" s="7" t="n"/>
      <c r="H68" s="7" t="n"/>
      <c r="I68" s="7" t="n"/>
    </row>
    <row r="69" ht="32" customHeight="1">
      <c r="A69" s="90" t="inlineStr">
        <is>
          <t>Chỉ số</t>
        </is>
      </c>
      <c r="B69" s="90" t="inlineStr">
        <is>
          <t>Diễn giải</t>
        </is>
      </c>
      <c r="C69" s="90" t="inlineStr">
        <is>
          <t>Số lượng</t>
        </is>
      </c>
      <c r="D69" s="90" t="inlineStr">
        <is>
          <t>Tổng</t>
        </is>
      </c>
      <c r="E69" s="90" t="inlineStr">
        <is>
          <t>Tỷ lệ</t>
        </is>
      </c>
      <c r="F69" s="90" t="inlineStr">
        <is>
          <t>Chỉ số</t>
        </is>
      </c>
      <c r="G69" s="90" t="inlineStr">
        <is>
          <t>Diễn giải</t>
        </is>
      </c>
      <c r="H69" s="90" t="inlineStr">
        <is>
          <t>Số lượng</t>
        </is>
      </c>
      <c r="I69" s="90" t="inlineStr">
        <is>
          <t>Tỷ lệ</t>
        </is>
      </c>
    </row>
    <row r="70" ht="24" customHeight="1">
      <c r="A70" s="91" t="inlineStr">
        <is>
          <t>Trang hoàn thành</t>
        </is>
      </c>
      <c r="B70" s="91" t="inlineStr">
        <is>
          <t>Đã test xong, không còn lỗi chặn</t>
        </is>
      </c>
      <c r="C70" s="97">
        <f>'z_Trang'!$D$1</f>
        <v/>
      </c>
      <c r="D70" s="97">
        <f>'z_Trang'!$B$1</f>
        <v/>
      </c>
      <c r="E70" s="98">
        <f>'z_Trang'!$F$1</f>
        <v/>
      </c>
      <c r="F70" s="91" t="inlineStr">
        <is>
          <t>Tổng lỗi ghi nhận</t>
        </is>
      </c>
      <c r="G70" s="91" t="inlineStr">
        <is>
          <t>Số dòng có BUG_ID</t>
        </is>
      </c>
      <c r="H70" s="97">
        <f>COUNTA('z_Loi'!$E:$E)-1</f>
        <v/>
      </c>
      <c r="I70" s="98" t="n"/>
    </row>
    <row r="71" ht="24" customHeight="1">
      <c r="A71" s="95" t="inlineStr">
        <is>
          <t>Trang cần kiểm tra lại</t>
        </is>
      </c>
      <c r="B71" s="95" t="inlineStr">
        <is>
          <t>Đã test, còn lỗi phải retest</t>
        </is>
      </c>
      <c r="C71" s="99">
        <f>'z_Trang'!$J$1</f>
        <v/>
      </c>
      <c r="D71" s="99">
        <f>'z_Trang'!$B$1</f>
        <v/>
      </c>
      <c r="E71" s="100">
        <f>IFERROR(C71/D71,"")</f>
        <v/>
      </c>
      <c r="F71" s="95" t="inlineStr">
        <is>
          <t>Lỗi đang mở</t>
        </is>
      </c>
      <c r="G71" s="95" t="inlineStr">
        <is>
          <t>Open + Chưa gửi Dev</t>
        </is>
      </c>
      <c r="H71" s="99">
        <f>(COUNTIF('z_Loi'!$U:$U,"Open")+COUNTIF('z_Loi'!$U:$U,"Chưa gửi Dev"))</f>
        <v/>
      </c>
      <c r="I71" s="100">
        <f>IFERROR(H71/(COUNTA('z_Loi'!$E:$E)-1),"")</f>
        <v/>
      </c>
    </row>
    <row r="72" ht="24" customHeight="1">
      <c r="A72" s="91" t="inlineStr">
        <is>
          <t>Trang chưa kiểm tra</t>
        </is>
      </c>
      <c r="B72" s="91" t="inlineStr">
        <is>
          <t>Chưa bắt đầu kiểm thử</t>
        </is>
      </c>
      <c r="C72" s="97">
        <f>'z_Trang'!$L$1</f>
        <v/>
      </c>
      <c r="D72" s="97">
        <f>'z_Trang'!$B$1</f>
        <v/>
      </c>
      <c r="E72" s="98">
        <f>IFERROR(C72/D72,"")</f>
        <v/>
      </c>
      <c r="F72" s="91" t="inlineStr">
        <is>
          <t>Lỗi đã xử lý</t>
        </is>
      </c>
      <c r="G72" s="91" t="inlineStr">
        <is>
          <t>Fixed + Verified + Closed</t>
        </is>
      </c>
      <c r="H72" s="97">
        <f>(COUNTIF('z_Loi'!$U:$U,"Fixed")+COUNTIF('z_Loi'!$U:$U,"Verified")+COUNTIF('z_Loi'!$U:$U,"Closed"))</f>
        <v/>
      </c>
      <c r="I72" s="98">
        <f>IFERROR(H72/(COUNTA('z_Loi'!$E:$E)-1),"")</f>
        <v/>
      </c>
    </row>
    <row r="73" ht="24" customHeight="1">
      <c r="A73" s="95" t="inlineStr">
        <is>
          <t>Tính năng hoàn thành</t>
        </is>
      </c>
      <c r="B73" s="95" t="inlineStr">
        <is>
          <t>Đã test xong</t>
        </is>
      </c>
      <c r="C73" s="99">
        <f>'z_TinhNang'!$D$1</f>
        <v/>
      </c>
      <c r="D73" s="99">
        <f>'z_TinhNang'!$B$1</f>
        <v/>
      </c>
      <c r="E73" s="100">
        <f>'z_TinhNang'!$F$1</f>
        <v/>
      </c>
      <c r="F73" s="95" t="inlineStr">
        <is>
          <t>Lỗi Critical/High đang mở</t>
        </is>
      </c>
      <c r="G73" s="95" t="inlineStr">
        <is>
          <t>Chặn nghiệm thu</t>
        </is>
      </c>
      <c r="H73" s="99">
        <f>(COUNTIFS('z_Loi'!$U:$U,"Open",'z_Loi'!$L:$L,"Critical")+COUNTIFS('z_Loi'!$U:$U,"Open",'z_Loi'!$L:$L,"High")+COUNTIFS('z_Loi'!$U:$U,"Chưa gửi Dev",'z_Loi'!$L:$L,"Critical")+COUNTIFS('z_Loi'!$U:$U,"Chưa gửi Dev",'z_Loi'!$L:$L,"High"))</f>
        <v/>
      </c>
      <c r="I73" s="100">
        <f>IFERROR(H73/(COUNTA('z_Loi'!$E:$E)-1),"")</f>
        <v/>
      </c>
    </row>
    <row r="74" ht="24" customHeight="1">
      <c r="A74" s="91" t="inlineStr">
        <is>
          <t>Tính năng cần kiểm tra lại</t>
        </is>
      </c>
      <c r="B74" s="91" t="inlineStr">
        <is>
          <t>Còn lỗi phải retest</t>
        </is>
      </c>
      <c r="C74" s="97">
        <f>'z_TinhNang'!$J$1</f>
        <v/>
      </c>
      <c r="D74" s="97">
        <f>'z_TinhNang'!$B$1</f>
        <v/>
      </c>
      <c r="E74" s="98">
        <f>IFERROR(C74/D74,"")</f>
        <v/>
      </c>
      <c r="F74" s="91" t="inlineStr">
        <is>
          <t>Lỗi tạm hoãn (Deferred)</t>
        </is>
      </c>
      <c r="G74" s="91" t="inlineStr">
        <is>
          <t>Cần ghi nhận ngoại lệ</t>
        </is>
      </c>
      <c r="H74" s="97">
        <f>COUNTIF('z_Loi'!$U:$U,"Deferred")</f>
        <v/>
      </c>
      <c r="I74" s="98">
        <f>IFERROR(H74/(COUNTA('z_Loi'!$E:$E)-1),"")</f>
        <v/>
      </c>
    </row>
    <row r="75" ht="24" customHeight="1">
      <c r="A75" s="95" t="inlineStr">
        <is>
          <t>Tính năng chưa kiểm tra</t>
        </is>
      </c>
      <c r="B75" s="95" t="inlineStr">
        <is>
          <t>Chưa bắt đầu kiểm thử</t>
        </is>
      </c>
      <c r="C75" s="99">
        <f>'z_TinhNang'!$L$1</f>
        <v/>
      </c>
      <c r="D75" s="99">
        <f>'z_TinhNang'!$B$1</f>
        <v/>
      </c>
      <c r="E75" s="100">
        <f>IFERROR(C75/D75,"")</f>
        <v/>
      </c>
      <c r="F75" s="95" t="inlineStr">
        <is>
          <t>Lỗi đã retest đạt</t>
        </is>
      </c>
      <c r="G75" s="95" t="inlineStr">
        <is>
          <t>Verified + Closed</t>
        </is>
      </c>
      <c r="H75" s="99">
        <f>(COUNTIF('z_Loi'!$U:$U,"Verified")+COUNTIF('z_Loi'!$U:$U,"Closed"))</f>
        <v/>
      </c>
      <c r="I75" s="100">
        <f>IFERROR(H75/(COUNTA('z_Loi'!$E:$E)-1),"")</f>
        <v/>
      </c>
    </row>
    <row r="76" ht="8" customHeight="1"/>
    <row r="77" ht="22" customHeight="1">
      <c r="A77" s="11" t="inlineStr">
        <is>
          <t>VIII. THỐNG KÊ LỖI (tự động)</t>
        </is>
      </c>
      <c r="B77" s="7" t="n"/>
      <c r="C77" s="7" t="n"/>
      <c r="D77" s="7" t="n"/>
      <c r="E77" s="7" t="n"/>
      <c r="F77" s="7" t="n"/>
      <c r="G77" s="7" t="n"/>
      <c r="H77" s="7" t="n"/>
      <c r="I77" s="7" t="n"/>
    </row>
    <row r="78" ht="32" customHeight="1">
      <c r="A78" s="90" t="inlineStr">
        <is>
          <t>Theo trạng thái</t>
        </is>
      </c>
      <c r="B78" s="90" t="inlineStr">
        <is>
          <t>Số lỗi</t>
        </is>
      </c>
      <c r="C78" s="90" t="inlineStr">
        <is>
          <t>Tỷ lệ</t>
        </is>
      </c>
      <c r="D78" s="90" t="inlineStr">
        <is>
          <t>Theo mức độ</t>
        </is>
      </c>
      <c r="E78" s="90" t="inlineStr">
        <is>
          <t>Tổng</t>
        </is>
      </c>
      <c r="F78" s="90" t="inlineStr">
        <is>
          <t>Đang mở</t>
        </is>
      </c>
      <c r="G78" s="90" t="inlineStr">
        <is>
          <t>Theo thiết bị / loại</t>
        </is>
      </c>
      <c r="H78" s="90" t="inlineStr">
        <is>
          <t>Tổng</t>
        </is>
      </c>
      <c r="I78" s="90" t="inlineStr">
        <is>
          <t>Đang mở</t>
        </is>
      </c>
    </row>
    <row r="79" ht="24" customHeight="1">
      <c r="A79" s="91" t="inlineStr">
        <is>
          <t>Open</t>
        </is>
      </c>
      <c r="B79" s="97">
        <f>COUNTIF('z_Loi'!$U:$U,"Open")</f>
        <v/>
      </c>
      <c r="C79" s="98">
        <f>IFERROR(B79/(COUNTA('z_Loi'!$E:$E)-1),"")</f>
        <v/>
      </c>
      <c r="D79" s="91" t="inlineStr">
        <is>
          <t>Critical</t>
        </is>
      </c>
      <c r="E79" s="97">
        <f>COUNTIF('z_Loi'!$L:$L,"Critical")</f>
        <v/>
      </c>
      <c r="F79" s="97">
        <f>(COUNTIFS('z_Loi'!$U:$U,"Open",'z_Loi'!$L:$L,"Critical")+COUNTIFS('z_Loi'!$U:$U,"Chưa gửi Dev",'z_Loi'!$L:$L,"Critical"))</f>
        <v/>
      </c>
      <c r="G79" s="91" t="inlineStr">
        <is>
          <t>Desktop</t>
        </is>
      </c>
      <c r="H79" s="97">
        <f>COUNTIF('z_Loi'!$M:$M,"*Desktop*")</f>
        <v/>
      </c>
      <c r="I79" s="97">
        <f>(COUNTIFS('z_Loi'!$U:$U,"Open",'z_Loi'!$M:$M,"*Desktop*")+COUNTIFS('z_Loi'!$U:$U,"Chưa gửi Dev",'z_Loi'!$M:$M,"*Desktop*"))</f>
        <v/>
      </c>
    </row>
    <row r="80" ht="24" customHeight="1">
      <c r="A80" s="95" t="inlineStr">
        <is>
          <t>Chưa gửi Dev</t>
        </is>
      </c>
      <c r="B80" s="99">
        <f>COUNTIF('z_Loi'!$U:$U,"Chưa gửi Dev")</f>
        <v/>
      </c>
      <c r="C80" s="100">
        <f>IFERROR(B80/(COUNTA('z_Loi'!$E:$E)-1),"")</f>
        <v/>
      </c>
      <c r="D80" s="95" t="inlineStr">
        <is>
          <t>High</t>
        </is>
      </c>
      <c r="E80" s="99">
        <f>COUNTIF('z_Loi'!$L:$L,"High")</f>
        <v/>
      </c>
      <c r="F80" s="99">
        <f>(COUNTIFS('z_Loi'!$U:$U,"Open",'z_Loi'!$L:$L,"High")+COUNTIFS('z_Loi'!$U:$U,"Chưa gửi Dev",'z_Loi'!$L:$L,"High"))</f>
        <v/>
      </c>
      <c r="G80" s="95" t="inlineStr">
        <is>
          <t>Mobile</t>
        </is>
      </c>
      <c r="H80" s="99">
        <f>COUNTIF('z_Loi'!$M:$M,"*Mobile*")</f>
        <v/>
      </c>
      <c r="I80" s="99">
        <f>(COUNTIFS('z_Loi'!$U:$U,"Open",'z_Loi'!$M:$M,"*Mobile*")+COUNTIFS('z_Loi'!$U:$U,"Chưa gửi Dev",'z_Loi'!$M:$M,"*Mobile*"))</f>
        <v/>
      </c>
    </row>
    <row r="81" ht="24" customHeight="1">
      <c r="A81" s="91" t="inlineStr">
        <is>
          <t>Fixed</t>
        </is>
      </c>
      <c r="B81" s="97">
        <f>COUNTIF('z_Loi'!$U:$U,"Fixed")</f>
        <v/>
      </c>
      <c r="C81" s="98">
        <f>IFERROR(B81/(COUNTA('z_Loi'!$E:$E)-1),"")</f>
        <v/>
      </c>
      <c r="D81" s="91" t="inlineStr">
        <is>
          <t>Medium</t>
        </is>
      </c>
      <c r="E81" s="97">
        <f>COUNTIF('z_Loi'!$L:$L,"Medium")</f>
        <v/>
      </c>
      <c r="F81" s="97">
        <f>(COUNTIFS('z_Loi'!$U:$U,"Open",'z_Loi'!$L:$L,"Medium")+COUNTIFS('z_Loi'!$U:$U,"Chưa gửi Dev",'z_Loi'!$L:$L,"Medium"))</f>
        <v/>
      </c>
      <c r="G81" s="91" t="inlineStr">
        <is>
          <t>Tablet</t>
        </is>
      </c>
      <c r="H81" s="97">
        <f>COUNTIF('z_Loi'!$M:$M,"*Tablet*")</f>
        <v/>
      </c>
      <c r="I81" s="97">
        <f>(COUNTIFS('z_Loi'!$U:$U,"Open",'z_Loi'!$M:$M,"*Tablet*")+COUNTIFS('z_Loi'!$U:$U,"Chưa gửi Dev",'z_Loi'!$M:$M,"*Tablet*"))</f>
        <v/>
      </c>
    </row>
    <row r="82" ht="24" customHeight="1">
      <c r="A82" s="95" t="inlineStr">
        <is>
          <t>Verified</t>
        </is>
      </c>
      <c r="B82" s="99">
        <f>COUNTIF('z_Loi'!$U:$U,"Verified")</f>
        <v/>
      </c>
      <c r="C82" s="100">
        <f>IFERROR(B82/(COUNTA('z_Loi'!$E:$E)-1),"")</f>
        <v/>
      </c>
      <c r="D82" s="95" t="inlineStr">
        <is>
          <t>Low</t>
        </is>
      </c>
      <c r="E82" s="99">
        <f>COUNTIF('z_Loi'!$L:$L,"Low")</f>
        <v/>
      </c>
      <c r="F82" s="99">
        <f>(COUNTIFS('z_Loi'!$U:$U,"Open",'z_Loi'!$L:$L,"Low")+COUNTIFS('z_Loi'!$U:$U,"Chưa gửi Dev",'z_Loi'!$L:$L,"Low"))</f>
        <v/>
      </c>
      <c r="G82" s="95" t="inlineStr">
        <is>
          <t>UI/UX</t>
        </is>
      </c>
      <c r="H82" s="99">
        <f>COUNTIF('z_Loi'!$K:$K,"*UI/UX*")</f>
        <v/>
      </c>
      <c r="I82" s="99">
        <f>(COUNTIFS('z_Loi'!$U:$U,"Open",'z_Loi'!$K:$K,"*UI/UX*")+COUNTIFS('z_Loi'!$U:$U,"Chưa gửi Dev",'z_Loi'!$K:$K,"*UI/UX*"))</f>
        <v/>
      </c>
    </row>
    <row r="83" ht="24" customHeight="1">
      <c r="A83" s="91" t="inlineStr">
        <is>
          <t>Closed</t>
        </is>
      </c>
      <c r="B83" s="97">
        <f>COUNTIF('z_Loi'!$U:$U,"Closed")</f>
        <v/>
      </c>
      <c r="C83" s="98">
        <f>IFERROR(B83/(COUNTA('z_Loi'!$E:$E)-1),"")</f>
        <v/>
      </c>
      <c r="D83" s="91" t="n"/>
      <c r="E83" s="97" t="n"/>
      <c r="F83" s="97" t="n"/>
      <c r="G83" s="91" t="inlineStr">
        <is>
          <t>Functional</t>
        </is>
      </c>
      <c r="H83" s="97">
        <f>COUNTIF('z_Loi'!$K:$K,"*Functional*")</f>
        <v/>
      </c>
      <c r="I83" s="97">
        <f>(COUNTIFS('z_Loi'!$U:$U,"Open",'z_Loi'!$K:$K,"*Functional*")+COUNTIFS('z_Loi'!$U:$U,"Chưa gửi Dev",'z_Loi'!$K:$K,"*Functional*"))</f>
        <v/>
      </c>
    </row>
    <row r="84" ht="24" customHeight="1">
      <c r="A84" s="95" t="inlineStr">
        <is>
          <t>Deferred</t>
        </is>
      </c>
      <c r="B84" s="99">
        <f>COUNTIF('z_Loi'!$U:$U,"Deferred")</f>
        <v/>
      </c>
      <c r="C84" s="100">
        <f>IFERROR(B84/(COUNTA('z_Loi'!$E:$E)-1),"")</f>
        <v/>
      </c>
      <c r="D84" s="95" t="n"/>
      <c r="E84" s="99" t="n"/>
      <c r="F84" s="99" t="n"/>
      <c r="G84" s="95" t="inlineStr">
        <is>
          <t>Security</t>
        </is>
      </c>
      <c r="H84" s="99">
        <f>COUNTIF('z_Loi'!$K:$K,"*Security*")</f>
        <v/>
      </c>
      <c r="I84" s="99">
        <f>(COUNTIFS('z_Loi'!$U:$U,"Open",'z_Loi'!$K:$K,"*Security*")+COUNTIFS('z_Loi'!$U:$U,"Chưa gửi Dev",'z_Loi'!$K:$K,"*Security*"))</f>
        <v/>
      </c>
    </row>
    <row r="85" ht="8" customHeight="1"/>
    <row r="86" ht="22" customHeight="1">
      <c r="A86" s="11" t="inlineStr">
        <is>
          <t>IX. KẾT QUẢ NGHIỆM THU THEO HẠNG MỤC</t>
        </is>
      </c>
      <c r="B86" s="7" t="n"/>
      <c r="C86" s="7" t="n"/>
      <c r="D86" s="7" t="n"/>
      <c r="E86" s="7" t="n"/>
      <c r="F86" s="7" t="n"/>
      <c r="G86" s="7" t="n"/>
      <c r="H86" s="7" t="n"/>
      <c r="I86" s="7" t="n"/>
    </row>
    <row r="87" ht="32" customHeight="1">
      <c r="A87" s="90" t="inlineStr">
        <is>
          <t>Hạng mục</t>
        </is>
      </c>
      <c r="B87" s="90" t="inlineStr">
        <is>
          <t>Phạm vi</t>
        </is>
      </c>
      <c r="C87" s="90" t="inlineStr">
        <is>
          <t>Tổng</t>
        </is>
      </c>
      <c r="D87" s="90" t="inlineStr">
        <is>
          <t>Hoàn thành</t>
        </is>
      </c>
      <c r="E87" s="90" t="inlineStr">
        <is>
          <t>Tỷ lệ</t>
        </is>
      </c>
      <c r="F87" s="90" t="inlineStr">
        <is>
          <t>Lỗi đang mở</t>
        </is>
      </c>
      <c r="G87" s="90" t="inlineStr">
        <is>
          <t>Critical/High mở</t>
        </is>
      </c>
      <c r="H87" s="90" t="inlineStr">
        <is>
          <t>Kết luận</t>
        </is>
      </c>
      <c r="I87" s="90" t="inlineStr">
        <is>
          <t>Ghi chú</t>
        </is>
      </c>
    </row>
    <row r="88" ht="26" customHeight="1">
      <c r="A88" s="91" t="inlineStr">
        <is>
          <t>Giao diện &amp; trải nghiệm (UI/UX)</t>
        </is>
      </c>
      <c r="B88" s="91" t="inlineStr">
        <is>
          <t>Trang website</t>
        </is>
      </c>
      <c r="C88" s="97">
        <f>'z_Trang'!$B$1</f>
        <v/>
      </c>
      <c r="D88" s="97">
        <f>'z_Trang'!$D$1</f>
        <v/>
      </c>
      <c r="E88" s="98">
        <f>'z_Trang'!$F$1</f>
        <v/>
      </c>
      <c r="F88" s="97">
        <f>(COUNTIFS('z_Loi'!$U:$U,"Open",'z_Loi'!$K:$K,"*UI/UX*")+COUNTIFS('z_Loi'!$U:$U,"Chưa gửi Dev",'z_Loi'!$K:$K,"*UI/UX*"))</f>
        <v/>
      </c>
      <c r="G88" s="97">
        <f>(COUNTIFS('z_Loi'!$U:$U,"Open",'z_Loi'!$K:$K,"*UI/UX*",'z_Loi'!$L:$L,"Critical")+COUNTIFS('z_Loi'!$U:$U,"Chưa gửi Dev",'z_Loi'!$K:$K,"*UI/UX*",'z_Loi'!$L:$L,"Critical")+COUNTIFS('z_Loi'!$U:$U,"Open",'z_Loi'!$K:$K,"*UI/UX*",'z_Loi'!$L:$L,"High")+COUNTIFS('z_Loi'!$U:$U,"Chưa gửi Dev",'z_Loi'!$K:$K,"*UI/UX*",'z_Loi'!$L:$L,"High"))</f>
        <v/>
      </c>
      <c r="H88" s="102">
        <f>IF(G88&gt;0,"Không đạt",IF(F88&gt;0,"Đạt có điều kiện","Đạt"))</f>
        <v/>
      </c>
      <c r="I88" s="92" t="n"/>
    </row>
    <row r="89" ht="26" customHeight="1">
      <c r="A89" s="95" t="inlineStr">
        <is>
          <t>Chức năng nghiệp vụ</t>
        </is>
      </c>
      <c r="B89" s="95" t="inlineStr">
        <is>
          <t>Tính năng theo yêu cầu</t>
        </is>
      </c>
      <c r="C89" s="99">
        <f>'z_TinhNang'!$B$1</f>
        <v/>
      </c>
      <c r="D89" s="99">
        <f>'z_TinhNang'!$D$1</f>
        <v/>
      </c>
      <c r="E89" s="100">
        <f>'z_TinhNang'!$F$1</f>
        <v/>
      </c>
      <c r="F89" s="99">
        <f>(COUNTIFS('z_Loi'!$U:$U,"Open",'z_Loi'!$K:$K,"*Functional*")+COUNTIFS('z_Loi'!$U:$U,"Chưa gửi Dev",'z_Loi'!$K:$K,"*Functional*"))</f>
        <v/>
      </c>
      <c r="G89" s="99">
        <f>(COUNTIFS('z_Loi'!$U:$U,"Open",'z_Loi'!$K:$K,"*Functional*",'z_Loi'!$L:$L,"Critical")+COUNTIFS('z_Loi'!$U:$U,"Chưa gửi Dev",'z_Loi'!$K:$K,"*Functional*",'z_Loi'!$L:$L,"Critical")+COUNTIFS('z_Loi'!$U:$U,"Open",'z_Loi'!$K:$K,"*Functional*",'z_Loi'!$L:$L,"High")+COUNTIFS('z_Loi'!$U:$U,"Chưa gửi Dev",'z_Loi'!$K:$K,"*Functional*",'z_Loi'!$L:$L,"High"))</f>
        <v/>
      </c>
      <c r="H89" s="103">
        <f>IF(G89&gt;0,"Không đạt",IF(F89&gt;0,"Đạt có điều kiện","Đạt"))</f>
        <v/>
      </c>
      <c r="I89" s="92" t="n"/>
    </row>
    <row r="90" ht="26" customHeight="1">
      <c r="A90" s="91" t="inlineStr">
        <is>
          <t>Tương thích &amp; Responsive</t>
        </is>
      </c>
      <c r="B90" s="91" t="inlineStr">
        <is>
          <t>Desktop / Mobile / Tablet</t>
        </is>
      </c>
      <c r="C90" s="97" t="n"/>
      <c r="D90" s="97" t="n"/>
      <c r="E90" s="98" t="n"/>
      <c r="F90" s="97">
        <f>(COUNTIFS('z_Loi'!$U:$U,"Open",'z_Loi'!$K:$K,"*Responsive*")+COUNTIFS('z_Loi'!$U:$U,"Chưa gửi Dev",'z_Loi'!$K:$K,"*Responsive*"))</f>
        <v/>
      </c>
      <c r="G90" s="97">
        <f>(COUNTIFS('z_Loi'!$U:$U,"Open",'z_Loi'!$K:$K,"*Responsive*",'z_Loi'!$L:$L,"Critical")+COUNTIFS('z_Loi'!$U:$U,"Chưa gửi Dev",'z_Loi'!$K:$K,"*Responsive*",'z_Loi'!$L:$L,"Critical")+COUNTIFS('z_Loi'!$U:$U,"Open",'z_Loi'!$K:$K,"*Responsive*",'z_Loi'!$L:$L,"High")+COUNTIFS('z_Loi'!$U:$U,"Chưa gửi Dev",'z_Loi'!$K:$K,"*Responsive*",'z_Loi'!$L:$L,"High"))</f>
        <v/>
      </c>
      <c r="H90" s="102">
        <f>IF(G90&gt;0,"Không đạt",IF(F90&gt;0,"Đạt có điều kiện","Đạt"))</f>
        <v/>
      </c>
      <c r="I90" s="92" t="n"/>
    </row>
    <row r="91" ht="26" customHeight="1">
      <c r="A91" s="95" t="inlineStr">
        <is>
          <t>Bảo mật</t>
        </is>
      </c>
      <c r="B91" s="95" t="inlineStr">
        <is>
          <t>Test case Security, phân quyền, dữ liệu</t>
        </is>
      </c>
      <c r="C91" s="99" t="n"/>
      <c r="D91" s="99" t="n"/>
      <c r="E91" s="100" t="n"/>
      <c r="F91" s="99">
        <f>(COUNTIFS('z_Loi'!$U:$U,"Open",'z_Loi'!$K:$K,"*Security*")+COUNTIFS('z_Loi'!$U:$U,"Chưa gửi Dev",'z_Loi'!$K:$K,"*Security*"))</f>
        <v/>
      </c>
      <c r="G91" s="99">
        <f>(COUNTIFS('z_Loi'!$U:$U,"Open",'z_Loi'!$K:$K,"*Security*",'z_Loi'!$L:$L,"Critical")+COUNTIFS('z_Loi'!$U:$U,"Chưa gửi Dev",'z_Loi'!$K:$K,"*Security*",'z_Loi'!$L:$L,"Critical")+COUNTIFS('z_Loi'!$U:$U,"Open",'z_Loi'!$K:$K,"*Security*",'z_Loi'!$L:$L,"High")+COUNTIFS('z_Loi'!$U:$U,"Chưa gửi Dev",'z_Loi'!$K:$K,"*Security*",'z_Loi'!$L:$L,"High"))</f>
        <v/>
      </c>
      <c r="H91" s="103">
        <f>IF(G91&gt;0,"Không đạt",IF(F91&gt;0,"Đạt có điều kiện","Đạt"))</f>
        <v/>
      </c>
      <c r="I91" s="92" t="n"/>
    </row>
    <row r="92" ht="26" customHeight="1">
      <c r="A92" s="91" t="inlineStr">
        <is>
          <t>Dữ liệu &amp; tích hợp (API/DB)</t>
        </is>
      </c>
      <c r="B92" s="91" t="inlineStr">
        <is>
          <t>Luồng dữ liệu, API bên thứ ba</t>
        </is>
      </c>
      <c r="C92" s="101" t="n"/>
      <c r="D92" s="101" t="n"/>
      <c r="E92" s="104" t="n"/>
      <c r="F92" s="101" t="n"/>
      <c r="G92" s="101" t="n"/>
      <c r="H92" s="105" t="n"/>
      <c r="I92" s="92" t="n"/>
    </row>
    <row r="93" ht="26" customHeight="1">
      <c r="A93" s="95" t="inlineStr">
        <is>
          <t>Hiệu năng</t>
        </is>
      </c>
      <c r="B93" s="95" t="inlineStr">
        <is>
          <t>Tốc độ tải, chịu tải</t>
        </is>
      </c>
      <c r="C93" s="101" t="n"/>
      <c r="D93" s="101" t="n"/>
      <c r="E93" s="104" t="n"/>
      <c r="F93" s="101" t="n"/>
      <c r="G93" s="101" t="n"/>
      <c r="H93" s="105" t="n"/>
      <c r="I93" s="92" t="n"/>
    </row>
    <row r="94" ht="26" customHeight="1">
      <c r="A94" s="91" t="inlineStr">
        <is>
          <t>SEO &amp; chuẩn nội dung</t>
        </is>
      </c>
      <c r="B94" s="91" t="inlineStr">
        <is>
          <t>Meta, sitemap, robots, URL</t>
        </is>
      </c>
      <c r="C94" s="101" t="n"/>
      <c r="D94" s="101" t="n"/>
      <c r="E94" s="104" t="n"/>
      <c r="F94" s="101" t="n"/>
      <c r="G94" s="101" t="n"/>
      <c r="H94" s="105" t="n"/>
      <c r="I94" s="92" t="n"/>
    </row>
    <row r="95" ht="26" customHeight="1">
      <c r="A95" s="95" t="inlineStr">
        <is>
          <t>Khả năng truy cập (Accessibility)</t>
        </is>
      </c>
      <c r="B95" s="95" t="inlineStr">
        <is>
          <t>Chuẩn WCAG cơ bản</t>
        </is>
      </c>
      <c r="C95" s="101" t="n"/>
      <c r="D95" s="101" t="n"/>
      <c r="E95" s="104" t="n"/>
      <c r="F95" s="101" t="n"/>
      <c r="G95" s="101" t="n"/>
      <c r="H95" s="105" t="n"/>
      <c r="I95" s="92" t="n"/>
    </row>
    <row r="96" ht="26" customHeight="1">
      <c r="A96" s="91" t="inlineStr">
        <is>
          <t>Vận hành &amp; bàn giao</t>
        </is>
      </c>
      <c r="B96" s="91" t="inlineStr">
        <is>
          <t>Tài liệu, tài khoản, hướng dẫn</t>
        </is>
      </c>
      <c r="C96" s="101" t="n"/>
      <c r="D96" s="101" t="n"/>
      <c r="E96" s="104" t="n"/>
      <c r="F96" s="101" t="n"/>
      <c r="G96" s="101" t="n"/>
      <c r="H96" s="105" t="n"/>
      <c r="I96" s="92" t="n"/>
    </row>
    <row r="97" ht="8" customHeight="1"/>
    <row r="98" ht="22" customHeight="1">
      <c r="A98" s="11" t="inlineStr">
        <is>
          <t>X. KẾT QUẢ KIỂM THỬ PHI CHỨC NĂNG (nhập tay — cần bổ sung số đo)</t>
        </is>
      </c>
      <c r="B98" s="7" t="n"/>
      <c r="C98" s="7" t="n"/>
      <c r="D98" s="7" t="n"/>
      <c r="E98" s="7" t="n"/>
      <c r="F98" s="7" t="n"/>
      <c r="G98" s="7" t="n"/>
      <c r="H98" s="7" t="n"/>
      <c r="I98" s="7" t="n"/>
    </row>
    <row r="99" ht="32" customHeight="1">
      <c r="A99" s="90" t="inlineStr">
        <is>
          <t>Hạng mục</t>
        </is>
      </c>
      <c r="B99" s="90" t="inlineStr">
        <is>
          <t>Chỉ số đo</t>
        </is>
      </c>
      <c r="C99" s="90" t="inlineStr">
        <is>
          <t>Công cụ đo</t>
        </is>
      </c>
      <c r="D99" s="90" t="inlineStr">
        <is>
          <t>Ngưỡng yêu cầu</t>
        </is>
      </c>
      <c r="E99" s="90" t="inlineStr">
        <is>
          <t>Kết quả đo</t>
        </is>
      </c>
      <c r="F99" s="90" t="inlineStr">
        <is>
          <t>Ngày đo</t>
        </is>
      </c>
      <c r="G99" s="90" t="inlineStr">
        <is>
          <t>Đánh giá</t>
        </is>
      </c>
      <c r="H99" s="90" t="inlineStr">
        <is>
          <t>Bằng chứng / link</t>
        </is>
      </c>
      <c r="I99" s="90" t="inlineStr">
        <is>
          <t>Ghi chú</t>
        </is>
      </c>
    </row>
    <row r="100" ht="24" customHeight="1">
      <c r="A100" s="91" t="inlineStr">
        <is>
          <t>Hiệu năng</t>
        </is>
      </c>
      <c r="B100" s="91" t="inlineStr">
        <is>
          <t>Điểm PageSpeed Desktop</t>
        </is>
      </c>
      <c r="C100" s="93" t="n"/>
      <c r="D100" s="93" t="n"/>
      <c r="E100" s="93" t="n"/>
      <c r="F100" s="106" t="n"/>
      <c r="G100" s="93" t="n"/>
      <c r="H100" s="92" t="n"/>
      <c r="I100" s="92" t="n"/>
    </row>
    <row r="101" ht="24" customHeight="1">
      <c r="A101" s="95" t="inlineStr">
        <is>
          <t>Hiệu năng</t>
        </is>
      </c>
      <c r="B101" s="95" t="inlineStr">
        <is>
          <t>Điểm PageSpeed Mobile</t>
        </is>
      </c>
      <c r="C101" s="93" t="n"/>
      <c r="D101" s="93" t="n"/>
      <c r="E101" s="93" t="n"/>
      <c r="F101" s="106" t="n"/>
      <c r="G101" s="93" t="n"/>
      <c r="H101" s="92" t="n"/>
      <c r="I101" s="92" t="n"/>
    </row>
    <row r="102" ht="24" customHeight="1">
      <c r="A102" s="91" t="inlineStr">
        <is>
          <t>Hiệu năng</t>
        </is>
      </c>
      <c r="B102" s="91" t="inlineStr">
        <is>
          <t>LCP (giây)</t>
        </is>
      </c>
      <c r="C102" s="93" t="n"/>
      <c r="D102" s="93" t="n"/>
      <c r="E102" s="93" t="n"/>
      <c r="F102" s="106" t="n"/>
      <c r="G102" s="93" t="n"/>
      <c r="H102" s="92" t="n"/>
      <c r="I102" s="92" t="n"/>
    </row>
    <row r="103" ht="24" customHeight="1">
      <c r="A103" s="95" t="inlineStr">
        <is>
          <t>Hiệu năng</t>
        </is>
      </c>
      <c r="B103" s="95" t="inlineStr">
        <is>
          <t>Thời gian tải trang chủ (giây)</t>
        </is>
      </c>
      <c r="C103" s="93" t="n"/>
      <c r="D103" s="93" t="n"/>
      <c r="E103" s="93" t="n"/>
      <c r="F103" s="106" t="n"/>
      <c r="G103" s="93" t="n"/>
      <c r="H103" s="92" t="n"/>
      <c r="I103" s="92" t="n"/>
    </row>
    <row r="104" ht="24" customHeight="1">
      <c r="A104" s="91" t="inlineStr">
        <is>
          <t>Chịu tải</t>
        </is>
      </c>
      <c r="B104" s="91" t="inlineStr">
        <is>
          <t>Số người dùng đồng thời</t>
        </is>
      </c>
      <c r="C104" s="93" t="n"/>
      <c r="D104" s="93" t="n"/>
      <c r="E104" s="93" t="n"/>
      <c r="F104" s="106" t="n"/>
      <c r="G104" s="93" t="n"/>
      <c r="H104" s="92" t="n"/>
      <c r="I104" s="92" t="n"/>
    </row>
    <row r="105" ht="24" customHeight="1">
      <c r="A105" s="95" t="inlineStr">
        <is>
          <t>Bảo mật</t>
        </is>
      </c>
      <c r="B105" s="95" t="inlineStr">
        <is>
          <t>Quét lỗ hổng (OWASP Top 10)</t>
        </is>
      </c>
      <c r="C105" s="93" t="n"/>
      <c r="D105" s="93" t="n"/>
      <c r="E105" s="93" t="n"/>
      <c r="F105" s="106" t="n"/>
      <c r="G105" s="93" t="n"/>
      <c r="H105" s="92" t="n"/>
      <c r="I105" s="92" t="n"/>
    </row>
    <row r="106" ht="24" customHeight="1">
      <c r="A106" s="91" t="inlineStr">
        <is>
          <t>Bảo mật</t>
        </is>
      </c>
      <c r="B106" s="91" t="inlineStr">
        <is>
          <t>HTTPS / chứng chỉ SSL</t>
        </is>
      </c>
      <c r="C106" s="93" t="n"/>
      <c r="D106" s="93" t="n"/>
      <c r="E106" s="93" t="n"/>
      <c r="F106" s="106" t="n"/>
      <c r="G106" s="93" t="n"/>
      <c r="H106" s="92" t="n"/>
      <c r="I106" s="92" t="n"/>
    </row>
    <row r="107" ht="24" customHeight="1">
      <c r="A107" s="95" t="inlineStr">
        <is>
          <t>Bảo mật</t>
        </is>
      </c>
      <c r="B107" s="95" t="inlineStr">
        <is>
          <t>Phân quyền theo vai trò</t>
        </is>
      </c>
      <c r="C107" s="93" t="n"/>
      <c r="D107" s="93" t="n"/>
      <c r="E107" s="93" t="n"/>
      <c r="F107" s="106" t="n"/>
      <c r="G107" s="93" t="n"/>
      <c r="H107" s="92" t="n"/>
      <c r="I107" s="92" t="n"/>
    </row>
    <row r="108" ht="24" customHeight="1">
      <c r="A108" s="91" t="inlineStr">
        <is>
          <t>SEO</t>
        </is>
      </c>
      <c r="B108" s="91" t="inlineStr">
        <is>
          <t>Sitemap / robots.txt / meta</t>
        </is>
      </c>
      <c r="C108" s="93" t="n"/>
      <c r="D108" s="93" t="n"/>
      <c r="E108" s="93" t="n"/>
      <c r="F108" s="106" t="n"/>
      <c r="G108" s="93" t="n"/>
      <c r="H108" s="92" t="n"/>
      <c r="I108" s="92" t="n"/>
    </row>
    <row r="109" ht="24" customHeight="1">
      <c r="A109" s="95" t="inlineStr">
        <is>
          <t>Accessibility</t>
        </is>
      </c>
      <c r="B109" s="95" t="inlineStr">
        <is>
          <t>Tương phản &amp; thao tác bàn phím</t>
        </is>
      </c>
      <c r="C109" s="93" t="n"/>
      <c r="D109" s="93" t="n"/>
      <c r="E109" s="93" t="n"/>
      <c r="F109" s="106" t="n"/>
      <c r="G109" s="93" t="n"/>
      <c r="H109" s="92" t="n"/>
      <c r="I109" s="92" t="n"/>
    </row>
    <row r="110" ht="24" customHeight="1">
      <c r="A110" s="91" t="inlineStr">
        <is>
          <t>Sao lưu</t>
        </is>
      </c>
      <c r="B110" s="91" t="inlineStr">
        <is>
          <t>Cơ chế backup &amp; phục hồi</t>
        </is>
      </c>
      <c r="C110" s="93" t="n"/>
      <c r="D110" s="93" t="n"/>
      <c r="E110" s="93" t="n"/>
      <c r="F110" s="106" t="n"/>
      <c r="G110" s="93" t="n"/>
      <c r="H110" s="92" t="n"/>
      <c r="I110" s="92" t="n"/>
    </row>
    <row r="111" ht="8" customHeight="1"/>
    <row r="112" ht="22" customHeight="1">
      <c r="A112" s="11" t="inlineStr">
        <is>
          <t>XI. LỖI TỒN ĐỌNG ĐANG CHẶN NGHIỆM THU (Critical/High còn mở)</t>
        </is>
      </c>
      <c r="B112" s="7" t="n"/>
      <c r="C112" s="7" t="n"/>
      <c r="D112" s="7" t="n"/>
      <c r="E112" s="7" t="n"/>
      <c r="F112" s="7" t="n"/>
      <c r="G112" s="7" t="n"/>
      <c r="H112" s="7" t="n"/>
      <c r="I112" s="7" t="n"/>
    </row>
    <row r="113" ht="26" customHeight="1">
      <c r="A113" s="18" t="inlineStr">
        <is>
          <t>Danh sách tự động, hiển thị tối đa 30 lỗi ưu tiên. Danh sách đầy đủ xem sheet 05_Lỗi_Tester của file QA. Không nhập gì vào vùng bảng bên dưới (công thức sẽ tự đổ dữ liệu).</t>
        </is>
      </c>
      <c r="B113" s="5" t="n"/>
      <c r="C113" s="5" t="n"/>
      <c r="D113" s="5" t="n"/>
      <c r="E113" s="5" t="n"/>
      <c r="F113" s="5" t="n"/>
      <c r="G113" s="5" t="n"/>
      <c r="H113" s="5" t="n"/>
      <c r="I113" s="5" t="n"/>
    </row>
    <row r="114" ht="32" customHeight="1">
      <c r="A114" s="90" t="inlineStr">
        <is>
          <t>BUG_ID</t>
        </is>
      </c>
      <c r="B114" s="90" t="inlineStr">
        <is>
          <t>Trang</t>
        </is>
      </c>
      <c r="C114" s="90" t="inlineStr">
        <is>
          <t>Tính năng</t>
        </is>
      </c>
      <c r="D114" s="90" t="inlineStr">
        <is>
          <t>Mức độ</t>
        </is>
      </c>
      <c r="E114" s="90" t="inlineStr">
        <is>
          <t>Loại lỗi</t>
        </is>
      </c>
      <c r="F114" s="90" t="inlineStr">
        <is>
          <t>Ngày phát hiện</t>
        </is>
      </c>
      <c r="G114" s="90" t="inlineStr">
        <is>
          <t>Trạng thái</t>
        </is>
      </c>
      <c r="H114" s="90" t="inlineStr">
        <is>
          <t>Người xử lý</t>
        </is>
      </c>
      <c r="I114" s="90" t="inlineStr">
        <is>
          <t>Hạn xử lý</t>
        </is>
      </c>
    </row>
    <row r="115" ht="20" customHeight="1">
      <c r="A115" s="79">
        <f>IFERROR(QUERY('z_Loi'!$A:$V,"select E,B,C,L,K,Q,U where (L = 'Critical' or L = 'High') and (U = 'Open' or U = 'Chưa gửi Dev') order by L asc, Q desc limit 30 label E '', B '', C '', L '', K '', Q '', U '' format Q 'dd/mm/yyyy'",1),"Không còn lỗi Critical/High đang mở — đủ điều kiện về lỗi chặn")</f>
        <v/>
      </c>
      <c r="B115" s="14" t="n"/>
      <c r="C115" s="14" t="n"/>
      <c r="D115" s="14" t="n"/>
      <c r="E115" s="14" t="n"/>
      <c r="F115" s="14" t="n"/>
      <c r="G115" s="14" t="n"/>
      <c r="H115" s="14" t="n"/>
      <c r="I115" s="14" t="n"/>
    </row>
    <row r="116" ht="20" customHeight="1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</row>
    <row r="117" ht="20" customHeight="1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</row>
    <row r="118" ht="20" customHeight="1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</row>
    <row r="119" ht="20" customHeight="1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</row>
    <row r="120" ht="20" customHeight="1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</row>
    <row r="121" ht="20" customHeight="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</row>
    <row r="122" ht="20" customHeight="1">
      <c r="A122" s="14" t="n"/>
      <c r="B122" s="14" t="n"/>
      <c r="C122" s="14" t="n"/>
      <c r="D122" s="14" t="n"/>
      <c r="E122" s="14" t="n"/>
      <c r="F122" s="14" t="n"/>
      <c r="G122" s="14" t="n"/>
      <c r="H122" s="14" t="n"/>
      <c r="I122" s="14" t="n"/>
    </row>
    <row r="123" ht="20" customHeight="1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</row>
    <row r="124" ht="20" customHeight="1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</row>
    <row r="125" ht="20" customHeight="1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</row>
    <row r="126" ht="20" customHeight="1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</row>
    <row r="127" ht="20" customHeight="1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</row>
    <row r="128" ht="20" customHeight="1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</row>
    <row r="129" ht="20" customHeight="1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</row>
    <row r="130" ht="20" customHeight="1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</row>
    <row r="131" ht="20" customHeight="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</row>
    <row r="132" ht="20" customHeight="1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</row>
    <row r="133" ht="20" customHeight="1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</row>
    <row r="134" ht="20" customHeight="1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</row>
    <row r="135" ht="20" customHeight="1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</row>
    <row r="136" ht="20" customHeight="1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</row>
    <row r="137" ht="20" customHeight="1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</row>
    <row r="138" ht="20" customHeight="1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</row>
    <row r="139" ht="20" customHeight="1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</row>
    <row r="140" ht="20" customHeight="1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</row>
    <row r="141" ht="20" customHeight="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</row>
    <row r="142" ht="20" customHeight="1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</row>
    <row r="143" ht="20" customHeight="1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</row>
    <row r="144" ht="20" customHeight="1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</row>
    <row r="145" ht="20" customHeight="1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</row>
    <row r="146" ht="20" customHeight="1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</row>
    <row r="147" ht="8" customHeight="1"/>
    <row r="148" ht="22" customHeight="1">
      <c r="A148" s="11" t="inlineStr">
        <is>
          <t>XII. NGOẠI LỆ / LỖI ĐƯỢC CHẤP NHẬN BỎ QUA (WAIVER)</t>
        </is>
      </c>
      <c r="B148" s="7" t="n"/>
      <c r="C148" s="7" t="n"/>
      <c r="D148" s="7" t="n"/>
      <c r="E148" s="7" t="n"/>
      <c r="F148" s="7" t="n"/>
      <c r="G148" s="7" t="n"/>
      <c r="H148" s="7" t="n"/>
      <c r="I148" s="7" t="n"/>
    </row>
    <row r="149" ht="22" customHeight="1">
      <c r="A149" s="18" t="inlineStr">
        <is>
          <t>Mọi lỗi Critical/High không xử lý trước nghiệm thu phải có ngoại lệ được người duyệt của Bên A ký chấp nhận.</t>
        </is>
      </c>
      <c r="B149" s="5" t="n"/>
      <c r="C149" s="5" t="n"/>
      <c r="D149" s="5" t="n"/>
      <c r="E149" s="5" t="n"/>
      <c r="F149" s="5" t="n"/>
      <c r="G149" s="5" t="n"/>
      <c r="H149" s="5" t="n"/>
      <c r="I149" s="5" t="n"/>
    </row>
    <row r="150" ht="32" customHeight="1">
      <c r="A150" s="90" t="inlineStr">
        <is>
          <t>STT</t>
        </is>
      </c>
      <c r="B150" s="90" t="inlineStr">
        <is>
          <t>BUG_ID / Hạng mục</t>
        </is>
      </c>
      <c r="C150" s="90" t="inlineStr">
        <is>
          <t>Mức độ</t>
        </is>
      </c>
      <c r="D150" s="90" t="inlineStr">
        <is>
          <t>Lý do chấp nhận</t>
        </is>
      </c>
      <c r="E150" s="90" t="inlineStr">
        <is>
          <t>Ảnh hưởng còn lại</t>
        </is>
      </c>
      <c r="F150" s="90" t="inlineStr">
        <is>
          <t>Phương án tạm thời</t>
        </is>
      </c>
      <c r="G150" s="90" t="inlineStr">
        <is>
          <t>Hạn xử lý dứt điểm</t>
        </is>
      </c>
      <c r="H150" s="90" t="inlineStr">
        <is>
          <t>Người duyệt</t>
        </is>
      </c>
      <c r="I150" s="90" t="inlineStr">
        <is>
          <t>Ngày duyệt</t>
        </is>
      </c>
    </row>
    <row r="151" ht="24" customHeight="1">
      <c r="A151" s="94" t="n">
        <v>1</v>
      </c>
      <c r="B151" s="92" t="n"/>
      <c r="C151" s="93" t="n"/>
      <c r="D151" s="92" t="n"/>
      <c r="E151" s="92" t="n"/>
      <c r="F151" s="92" t="n"/>
      <c r="G151" s="106" t="n"/>
      <c r="H151" s="93" t="n"/>
      <c r="I151" s="106" t="n"/>
    </row>
    <row r="152" ht="24" customHeight="1">
      <c r="A152" s="96" t="n">
        <v>2</v>
      </c>
      <c r="B152" s="92" t="n"/>
      <c r="C152" s="93" t="n"/>
      <c r="D152" s="92" t="n"/>
      <c r="E152" s="92" t="n"/>
      <c r="F152" s="92" t="n"/>
      <c r="G152" s="106" t="n"/>
      <c r="H152" s="93" t="n"/>
      <c r="I152" s="106" t="n"/>
    </row>
    <row r="153" ht="24" customHeight="1">
      <c r="A153" s="94" t="n">
        <v>3</v>
      </c>
      <c r="B153" s="92" t="n"/>
      <c r="C153" s="93" t="n"/>
      <c r="D153" s="92" t="n"/>
      <c r="E153" s="92" t="n"/>
      <c r="F153" s="92" t="n"/>
      <c r="G153" s="106" t="n"/>
      <c r="H153" s="93" t="n"/>
      <c r="I153" s="106" t="n"/>
    </row>
    <row r="154" ht="24" customHeight="1">
      <c r="A154" s="96" t="n">
        <v>4</v>
      </c>
      <c r="B154" s="92" t="n"/>
      <c r="C154" s="93" t="n"/>
      <c r="D154" s="92" t="n"/>
      <c r="E154" s="92" t="n"/>
      <c r="F154" s="92" t="n"/>
      <c r="G154" s="106" t="n"/>
      <c r="H154" s="93" t="n"/>
      <c r="I154" s="106" t="n"/>
    </row>
    <row r="155" ht="24" customHeight="1">
      <c r="A155" s="94" t="n">
        <v>5</v>
      </c>
      <c r="B155" s="92" t="n"/>
      <c r="C155" s="93" t="n"/>
      <c r="D155" s="92" t="n"/>
      <c r="E155" s="92" t="n"/>
      <c r="F155" s="92" t="n"/>
      <c r="G155" s="106" t="n"/>
      <c r="H155" s="93" t="n"/>
      <c r="I155" s="106" t="n"/>
    </row>
    <row r="156" ht="24" customHeight="1">
      <c r="A156" s="96" t="n">
        <v>6</v>
      </c>
      <c r="B156" s="92" t="n"/>
      <c r="C156" s="93" t="n"/>
      <c r="D156" s="92" t="n"/>
      <c r="E156" s="92" t="n"/>
      <c r="F156" s="92" t="n"/>
      <c r="G156" s="106" t="n"/>
      <c r="H156" s="93" t="n"/>
      <c r="I156" s="106" t="n"/>
    </row>
    <row r="157" ht="8" customHeight="1"/>
    <row r="158" ht="22" customHeight="1">
      <c r="A158" s="11" t="inlineStr">
        <is>
          <t>XIII. RỦI RO VÀ HẠN CHẾ ĐÃ BIẾT</t>
        </is>
      </c>
      <c r="B158" s="7" t="n"/>
      <c r="C158" s="7" t="n"/>
      <c r="D158" s="7" t="n"/>
      <c r="E158" s="7" t="n"/>
      <c r="F158" s="7" t="n"/>
      <c r="G158" s="7" t="n"/>
      <c r="H158" s="7" t="n"/>
      <c r="I158" s="7" t="n"/>
    </row>
    <row r="159" ht="32" customHeight="1">
      <c r="A159" s="90" t="inlineStr">
        <is>
          <t>STT</t>
        </is>
      </c>
      <c r="B159" s="90" t="inlineStr">
        <is>
          <t>Rủi ro / hạn chế</t>
        </is>
      </c>
      <c r="C159" s="90" t="inlineStr">
        <is>
          <t>Khả năng xảy ra</t>
        </is>
      </c>
      <c r="D159" s="90" t="inlineStr">
        <is>
          <t>Mức ảnh hưởng</t>
        </is>
      </c>
      <c r="E159" s="90" t="inlineStr">
        <is>
          <t>Biện pháp giảm thiểu</t>
        </is>
      </c>
      <c r="F159" s="90" t="inlineStr">
        <is>
          <t>Người theo dõi</t>
        </is>
      </c>
      <c r="G159" s="90" t="inlineStr">
        <is>
          <t>Hạn xử lý</t>
        </is>
      </c>
      <c r="H159" s="90" t="inlineStr">
        <is>
          <t>Trạng thái</t>
        </is>
      </c>
      <c r="I159" s="90" t="inlineStr">
        <is>
          <t>Ghi chú</t>
        </is>
      </c>
    </row>
    <row r="160" ht="24" customHeight="1">
      <c r="A160" s="94" t="n">
        <v>1</v>
      </c>
      <c r="B160" s="92" t="n"/>
      <c r="C160" s="93" t="n"/>
      <c r="D160" s="93" t="n"/>
      <c r="E160" s="92" t="n"/>
      <c r="F160" s="93" t="n"/>
      <c r="G160" s="106" t="n"/>
      <c r="H160" s="93" t="n"/>
      <c r="I160" s="92" t="n"/>
    </row>
    <row r="161" ht="24" customHeight="1">
      <c r="A161" s="96" t="n">
        <v>2</v>
      </c>
      <c r="B161" s="92" t="n"/>
      <c r="C161" s="93" t="n"/>
      <c r="D161" s="93" t="n"/>
      <c r="E161" s="92" t="n"/>
      <c r="F161" s="93" t="n"/>
      <c r="G161" s="106" t="n"/>
      <c r="H161" s="93" t="n"/>
      <c r="I161" s="92" t="n"/>
    </row>
    <row r="162" ht="24" customHeight="1">
      <c r="A162" s="94" t="n">
        <v>3</v>
      </c>
      <c r="B162" s="92" t="n"/>
      <c r="C162" s="93" t="n"/>
      <c r="D162" s="93" t="n"/>
      <c r="E162" s="92" t="n"/>
      <c r="F162" s="93" t="n"/>
      <c r="G162" s="106" t="n"/>
      <c r="H162" s="93" t="n"/>
      <c r="I162" s="92" t="n"/>
    </row>
    <row r="163" ht="24" customHeight="1">
      <c r="A163" s="96" t="n">
        <v>4</v>
      </c>
      <c r="B163" s="92" t="n"/>
      <c r="C163" s="93" t="n"/>
      <c r="D163" s="93" t="n"/>
      <c r="E163" s="92" t="n"/>
      <c r="F163" s="93" t="n"/>
      <c r="G163" s="106" t="n"/>
      <c r="H163" s="93" t="n"/>
      <c r="I163" s="92" t="n"/>
    </row>
    <row r="164" ht="24" customHeight="1">
      <c r="A164" s="94" t="n">
        <v>5</v>
      </c>
      <c r="B164" s="92" t="n"/>
      <c r="C164" s="93" t="n"/>
      <c r="D164" s="93" t="n"/>
      <c r="E164" s="92" t="n"/>
      <c r="F164" s="93" t="n"/>
      <c r="G164" s="106" t="n"/>
      <c r="H164" s="93" t="n"/>
      <c r="I164" s="92" t="n"/>
    </row>
    <row r="165" ht="8" customHeight="1"/>
    <row r="166" ht="22" customHeight="1">
      <c r="A166" s="11" t="inlineStr">
        <is>
          <t>XIV. HẠNG MỤC BÀN GIAO</t>
        </is>
      </c>
      <c r="B166" s="7" t="n"/>
      <c r="C166" s="7" t="n"/>
      <c r="D166" s="7" t="n"/>
      <c r="E166" s="7" t="n"/>
      <c r="F166" s="7" t="n"/>
      <c r="G166" s="7" t="n"/>
      <c r="H166" s="7" t="n"/>
      <c r="I166" s="7" t="n"/>
    </row>
    <row r="167" ht="32" customHeight="1">
      <c r="A167" s="90" t="inlineStr">
        <is>
          <t>STT</t>
        </is>
      </c>
      <c r="B167" s="90" t="inlineStr">
        <is>
          <t>Hạng mục bàn giao</t>
        </is>
      </c>
      <c r="C167" s="90" t="inlineStr">
        <is>
          <t>Định dạng / nơi lưu</t>
        </is>
      </c>
      <c r="D167" s="90" t="inlineStr">
        <is>
          <t>Số lượng</t>
        </is>
      </c>
      <c r="E167" s="90" t="inlineStr">
        <is>
          <t>Tình trạng</t>
        </is>
      </c>
      <c r="F167" s="90" t="inlineStr">
        <is>
          <t>Ngày bàn giao</t>
        </is>
      </c>
      <c r="G167" s="90" t="inlineStr">
        <is>
          <t>Người bàn giao</t>
        </is>
      </c>
      <c r="H167" s="90" t="inlineStr">
        <is>
          <t>Người nhận</t>
        </is>
      </c>
      <c r="I167" s="90" t="inlineStr">
        <is>
          <t>Ghi chú</t>
        </is>
      </c>
    </row>
    <row r="168" ht="24" customHeight="1">
      <c r="A168" s="94" t="n">
        <v>1</v>
      </c>
      <c r="B168" s="91" t="inlineStr">
        <is>
          <t>Mã nguồn website (repository)</t>
        </is>
      </c>
      <c r="C168" s="92" t="n"/>
      <c r="D168" s="93" t="n"/>
      <c r="E168" s="93" t="n"/>
      <c r="F168" s="106" t="n"/>
      <c r="G168" s="93" t="n"/>
      <c r="H168" s="93" t="n"/>
      <c r="I168" s="92" t="n"/>
    </row>
    <row r="169" ht="24" customHeight="1">
      <c r="A169" s="96" t="n">
        <v>2</v>
      </c>
      <c r="B169" s="95" t="inlineStr">
        <is>
          <t>Cơ sở dữ liệu (dump/backup)</t>
        </is>
      </c>
      <c r="C169" s="92" t="n"/>
      <c r="D169" s="93" t="n"/>
      <c r="E169" s="93" t="n"/>
      <c r="F169" s="106" t="n"/>
      <c r="G169" s="93" t="n"/>
      <c r="H169" s="93" t="n"/>
      <c r="I169" s="92" t="n"/>
    </row>
    <row r="170" ht="24" customHeight="1">
      <c r="A170" s="94" t="n">
        <v>3</v>
      </c>
      <c r="B170" s="91" t="inlineStr">
        <is>
          <t>Tài khoản quản trị hệ thống</t>
        </is>
      </c>
      <c r="C170" s="92" t="n"/>
      <c r="D170" s="93" t="n"/>
      <c r="E170" s="93" t="n"/>
      <c r="F170" s="106" t="n"/>
      <c r="G170" s="93" t="n"/>
      <c r="H170" s="93" t="n"/>
      <c r="I170" s="92" t="n"/>
    </row>
    <row r="171" ht="24" customHeight="1">
      <c r="A171" s="96" t="n">
        <v>4</v>
      </c>
      <c r="B171" s="95" t="inlineStr">
        <is>
          <t>Tài liệu hướng dẫn sử dụng</t>
        </is>
      </c>
      <c r="C171" s="92" t="n"/>
      <c r="D171" s="93" t="n"/>
      <c r="E171" s="93" t="n"/>
      <c r="F171" s="106" t="n"/>
      <c r="G171" s="93" t="n"/>
      <c r="H171" s="93" t="n"/>
      <c r="I171" s="92" t="n"/>
    </row>
    <row r="172" ht="24" customHeight="1">
      <c r="A172" s="94" t="n">
        <v>5</v>
      </c>
      <c r="B172" s="91" t="inlineStr">
        <is>
          <t>Tài liệu kỹ thuật / triển khai</t>
        </is>
      </c>
      <c r="C172" s="92" t="n"/>
      <c r="D172" s="93" t="n"/>
      <c r="E172" s="93" t="n"/>
      <c r="F172" s="106" t="n"/>
      <c r="G172" s="93" t="n"/>
      <c r="H172" s="93" t="n"/>
      <c r="I172" s="92" t="n"/>
    </row>
    <row r="173" ht="24" customHeight="1">
      <c r="A173" s="96" t="n">
        <v>6</v>
      </c>
      <c r="B173" s="95" t="inlineStr">
        <is>
          <t>Bộ Test Case (RTM)</t>
        </is>
      </c>
      <c r="C173" s="92" t="n"/>
      <c r="D173" s="93" t="n"/>
      <c r="E173" s="93" t="n"/>
      <c r="F173" s="106" t="n"/>
      <c r="G173" s="93" t="n"/>
      <c r="H173" s="93" t="n"/>
      <c r="I173" s="92" t="n"/>
    </row>
    <row r="174" ht="24" customHeight="1">
      <c r="A174" s="94" t="n">
        <v>7</v>
      </c>
      <c r="B174" s="91" t="inlineStr">
        <is>
          <t>Bộ hồ sơ lỗi + bằng chứng</t>
        </is>
      </c>
      <c r="C174" s="92" t="n"/>
      <c r="D174" s="93" t="n"/>
      <c r="E174" s="93" t="n"/>
      <c r="F174" s="106" t="n"/>
      <c r="G174" s="93" t="n"/>
      <c r="H174" s="93" t="n"/>
      <c r="I174" s="92" t="n"/>
    </row>
    <row r="175" ht="24" customHeight="1">
      <c r="A175" s="96" t="n">
        <v>8</v>
      </c>
      <c r="B175" s="95" t="inlineStr">
        <is>
          <t>Bộ thiết kế (Figma/ảnh)</t>
        </is>
      </c>
      <c r="C175" s="92" t="n"/>
      <c r="D175" s="93" t="n"/>
      <c r="E175" s="93" t="n"/>
      <c r="F175" s="106" t="n"/>
      <c r="G175" s="93" t="n"/>
      <c r="H175" s="93" t="n"/>
      <c r="I175" s="92" t="n"/>
    </row>
    <row r="176" ht="24" customHeight="1">
      <c r="A176" s="94" t="n">
        <v>9</v>
      </c>
      <c r="B176" s="91" t="inlineStr">
        <is>
          <t>Tên miền, hosting, chứng chỉ SSL</t>
        </is>
      </c>
      <c r="C176" s="92" t="n"/>
      <c r="D176" s="93" t="n"/>
      <c r="E176" s="93" t="n"/>
      <c r="F176" s="106" t="n"/>
      <c r="G176" s="93" t="n"/>
      <c r="H176" s="93" t="n"/>
      <c r="I176" s="92" t="n"/>
    </row>
    <row r="177" ht="24" customHeight="1">
      <c r="A177" s="96" t="n">
        <v>10</v>
      </c>
      <c r="B177" s="95" t="inlineStr">
        <is>
          <t>Tài khoản dịch vụ bên thứ ba</t>
        </is>
      </c>
      <c r="C177" s="92" t="n"/>
      <c r="D177" s="93" t="n"/>
      <c r="E177" s="93" t="n"/>
      <c r="F177" s="106" t="n"/>
      <c r="G177" s="93" t="n"/>
      <c r="H177" s="93" t="n"/>
      <c r="I177" s="92" t="n"/>
    </row>
    <row r="178" ht="8" customHeight="1"/>
    <row r="179" ht="22" customHeight="1">
      <c r="A179" s="11" t="inlineStr">
        <is>
          <t>XV. BẢO HÀNH VÀ HỖ TRỢ SAU NGHIỆM THU</t>
        </is>
      </c>
      <c r="B179" s="7" t="n"/>
      <c r="C179" s="7" t="n"/>
      <c r="D179" s="7" t="n"/>
      <c r="E179" s="7" t="n"/>
      <c r="F179" s="7" t="n"/>
      <c r="G179" s="7" t="n"/>
      <c r="H179" s="7" t="n"/>
      <c r="I179" s="7" t="n"/>
    </row>
    <row r="180" ht="24" customHeight="1">
      <c r="A180" s="86" t="inlineStr">
        <is>
          <t>Thời gian bảo hành</t>
        </is>
      </c>
      <c r="B180" s="87" t="n"/>
      <c r="C180" s="88" t="n"/>
      <c r="D180" s="86" t="inlineStr">
        <is>
          <t>Từ ngày</t>
        </is>
      </c>
      <c r="E180" s="89" t="n"/>
      <c r="F180" s="88" t="n"/>
      <c r="G180" s="86" t="inlineStr">
        <is>
          <t>Đến ngày</t>
        </is>
      </c>
      <c r="H180" s="89" t="n"/>
      <c r="I180" s="88" t="n"/>
    </row>
    <row r="181" ht="24" customHeight="1">
      <c r="A181" s="86" t="inlineStr">
        <is>
          <t>Phạm vi bảo hành</t>
        </is>
      </c>
      <c r="B181" s="87" t="n"/>
      <c r="C181" s="88" t="n"/>
      <c r="D181" s="86" t="inlineStr">
        <is>
          <t>Kênh tiếp nhận lỗi</t>
        </is>
      </c>
      <c r="E181" s="87" t="n"/>
      <c r="F181" s="88" t="n"/>
      <c r="G181" s="86" t="inlineStr">
        <is>
          <t>Thời gian phản hồi (SLA)</t>
        </is>
      </c>
      <c r="H181" s="87" t="n"/>
      <c r="I181" s="88" t="n"/>
    </row>
    <row r="182" ht="24" customHeight="1">
      <c r="A182" s="86" t="inlineStr">
        <is>
          <t>Thời gian khắc phục Critical</t>
        </is>
      </c>
      <c r="B182" s="87" t="n"/>
      <c r="C182" s="88" t="n"/>
      <c r="D182" s="86" t="inlineStr">
        <is>
          <t>Thời gian khắc phục High</t>
        </is>
      </c>
      <c r="E182" s="87" t="n"/>
      <c r="F182" s="88" t="n"/>
      <c r="G182" s="86" t="inlineStr">
        <is>
          <t>Chi phí ngoài bảo hành</t>
        </is>
      </c>
      <c r="H182" s="87" t="n"/>
      <c r="I182" s="88" t="n"/>
    </row>
    <row r="183" ht="8" customHeight="1"/>
    <row r="184" ht="22" customHeight="1">
      <c r="A184" s="11" t="inlineStr">
        <is>
          <t>XVI. KẾT LUẬN NGHIỆM THU</t>
        </is>
      </c>
      <c r="B184" s="7" t="n"/>
      <c r="C184" s="7" t="n"/>
      <c r="D184" s="7" t="n"/>
      <c r="E184" s="7" t="n"/>
      <c r="F184" s="7" t="n"/>
      <c r="G184" s="7" t="n"/>
      <c r="H184" s="7" t="n"/>
      <c r="I184" s="7" t="n"/>
    </row>
    <row r="185" ht="32" customHeight="1">
      <c r="A185" s="90" t="inlineStr">
        <is>
          <t>Nội dung</t>
        </is>
      </c>
      <c r="B185" s="90" t="inlineStr">
        <is>
          <t>Kết quả</t>
        </is>
      </c>
      <c r="C185" s="90" t="inlineStr"/>
      <c r="D185" s="90" t="inlineStr">
        <is>
          <t>Diễn giải</t>
        </is>
      </c>
      <c r="E185" s="90" t="inlineStr"/>
      <c r="F185" s="90" t="inlineStr"/>
      <c r="G185" s="90" t="inlineStr"/>
      <c r="H185" s="90" t="inlineStr"/>
      <c r="I185" s="90" t="inlineStr"/>
    </row>
    <row r="186" ht="28" customHeight="1">
      <c r="A186" s="107" t="inlineStr">
        <is>
          <t>Đề xuất tự động (theo tiêu chí mục V)</t>
        </is>
      </c>
      <c r="B186" s="108">
        <f>IF(COUNTIF(E43:E59,"Chưa đạt")&gt;0,"KHÔNG ĐẠT — còn "&amp;COUNTIF(E43:E59,"Chưa đạt")&amp;" tiêu chí chưa đạt",IF(COUNTIF(E43:E59,"Chưa chốt ngưỡng")+COUNTBLANK(E43:E59)&gt;0,"CHƯA ĐỦ CĂN CỨ — còn tiêu chí chưa có ngưỡng hoặc chưa đánh giá","ĐẠT — toàn bộ tiêu chí bắt buộc đã thỏa mãn"))</f>
        <v/>
      </c>
      <c r="C186" s="109" t="n"/>
      <c r="D186" s="109" t="n"/>
      <c r="E186" s="109" t="n"/>
      <c r="F186" s="109" t="n"/>
      <c r="G186" s="109" t="n"/>
      <c r="H186" s="109" t="n"/>
      <c r="I186" s="109" t="n"/>
    </row>
    <row r="187" ht="24" customHeight="1">
      <c r="A187" s="107" t="inlineStr">
        <is>
          <t>Số hạng mục Đạt / Không đạt (mục IX)</t>
        </is>
      </c>
      <c r="B187" s="51">
        <f>"Đạt: "&amp;COUNTIF(H88:H96,"Đạt")&amp;"  |  Đạt có điều kiện: "&amp;COUNTIF(H88:H96,"Đạt có điều kiện")&amp;"  |  Không đạt: "&amp;COUNTIF(H88:H96,"Không đạt")&amp;"  |  Chưa kết luận: "&amp;COUNTBLANK(H88:H96)</f>
        <v/>
      </c>
      <c r="C187" s="63" t="n"/>
      <c r="D187" s="63" t="n"/>
      <c r="E187" s="63" t="n"/>
      <c r="F187" s="63" t="n"/>
      <c r="G187" s="63" t="n"/>
      <c r="H187" s="63" t="n"/>
      <c r="I187" s="63" t="n"/>
    </row>
    <row r="188" ht="30" customHeight="1">
      <c r="A188" s="26" t="inlineStr">
        <is>
          <t>KẾT LUẬN CHÍNH THỨC (người duyệt chọn)</t>
        </is>
      </c>
      <c r="B188" s="110" t="inlineStr"/>
      <c r="C188" s="88" t="n"/>
      <c r="D188" s="88" t="n"/>
      <c r="E188" s="111" t="inlineStr">
        <is>
          <t>Ngày kết luận</t>
        </is>
      </c>
      <c r="F188" s="112" t="inlineStr"/>
      <c r="G188" s="88" t="n"/>
      <c r="H188" s="111" t="inlineStr">
        <is>
          <t>Hiệu lực từ</t>
        </is>
      </c>
      <c r="I188" s="112" t="inlineStr"/>
    </row>
    <row r="189" ht="46" customHeight="1">
      <c r="A189" s="107" t="inlineStr">
        <is>
          <t>Lý do / điều kiện kèm theo</t>
        </is>
      </c>
      <c r="B189" s="92" t="inlineStr"/>
      <c r="C189" s="88" t="n"/>
      <c r="D189" s="88" t="n"/>
      <c r="E189" s="88" t="n"/>
      <c r="F189" s="88" t="n"/>
      <c r="G189" s="88" t="n"/>
      <c r="H189" s="88" t="n"/>
      <c r="I189" s="88" t="n"/>
    </row>
    <row r="190" ht="8" customHeight="1"/>
    <row r="191" ht="22" customHeight="1">
      <c r="A191" s="11" t="inlineStr">
        <is>
          <t>XVII. VIỆC CẦN LÀM ĐỂ HOÀN TẤT NGHIỆM THU</t>
        </is>
      </c>
      <c r="B191" s="7" t="n"/>
      <c r="C191" s="7" t="n"/>
      <c r="D191" s="7" t="n"/>
      <c r="E191" s="7" t="n"/>
      <c r="F191" s="7" t="n"/>
      <c r="G191" s="7" t="n"/>
      <c r="H191" s="7" t="n"/>
      <c r="I191" s="7" t="n"/>
    </row>
    <row r="192" ht="32" customHeight="1">
      <c r="A192" s="90" t="inlineStr">
        <is>
          <t>STT</t>
        </is>
      </c>
      <c r="B192" s="90" t="inlineStr">
        <is>
          <t>Việc cần làm</t>
        </is>
      </c>
      <c r="C192" s="90" t="inlineStr">
        <is>
          <t>Đầu ra / điều kiện xong</t>
        </is>
      </c>
      <c r="D192" s="90" t="inlineStr">
        <is>
          <t>Người phụ trách</t>
        </is>
      </c>
      <c r="E192" s="90" t="inlineStr">
        <is>
          <t>Hạn hoàn thành</t>
        </is>
      </c>
      <c r="F192" s="90" t="inlineStr">
        <is>
          <t>Mức ưu tiên</t>
        </is>
      </c>
      <c r="G192" s="90" t="inlineStr">
        <is>
          <t>Trạng thái</t>
        </is>
      </c>
      <c r="H192" s="90" t="inlineStr">
        <is>
          <t>Bằng chứng</t>
        </is>
      </c>
      <c r="I192" s="90" t="inlineStr">
        <is>
          <t>Ghi chú</t>
        </is>
      </c>
    </row>
    <row r="193" ht="24" customHeight="1">
      <c r="A193" s="94" t="n">
        <v>1</v>
      </c>
      <c r="B193" s="91" t="inlineStr">
        <is>
          <t>Dev sửa dứt điểm toàn bộ lỗi Critical/High đang mở</t>
        </is>
      </c>
      <c r="C193" s="92" t="n"/>
      <c r="D193" s="93" t="n"/>
      <c r="E193" s="106" t="n"/>
      <c r="F193" s="93" t="n"/>
      <c r="G193" s="93" t="n"/>
      <c r="H193" s="92" t="n"/>
      <c r="I193" s="92" t="n"/>
    </row>
    <row r="194" ht="24" customHeight="1">
      <c r="A194" s="96" t="n">
        <v>2</v>
      </c>
      <c r="B194" s="95" t="inlineStr">
        <is>
          <t>QA retest và chuyển trạng thái lỗi sang Verified/Closed</t>
        </is>
      </c>
      <c r="C194" s="92" t="n"/>
      <c r="D194" s="93" t="n"/>
      <c r="E194" s="106" t="n"/>
      <c r="F194" s="93" t="n"/>
      <c r="G194" s="93" t="n"/>
      <c r="H194" s="92" t="n"/>
      <c r="I194" s="92" t="n"/>
    </row>
    <row r="195" ht="24" customHeight="1">
      <c r="A195" s="94" t="n">
        <v>3</v>
      </c>
      <c r="B195" s="91" t="inlineStr">
        <is>
          <t>Bổ sung link bằng chứng (ảnh/video) cho các mục còn thiếu</t>
        </is>
      </c>
      <c r="C195" s="92" t="n"/>
      <c r="D195" s="93" t="n"/>
      <c r="E195" s="106" t="n"/>
      <c r="F195" s="93" t="n"/>
      <c r="G195" s="93" t="n"/>
      <c r="H195" s="92" t="n"/>
      <c r="I195" s="92" t="n"/>
    </row>
    <row r="196" ht="24" customHeight="1">
      <c r="A196" s="96" t="n">
        <v>4</v>
      </c>
      <c r="B196" s="95" t="inlineStr">
        <is>
          <t>Chốt danh sách DS/YC thuộc phạm vi nghiệm thu giai đoạn này</t>
        </is>
      </c>
      <c r="C196" s="92" t="n"/>
      <c r="D196" s="93" t="n"/>
      <c r="E196" s="106" t="n"/>
      <c r="F196" s="93" t="n"/>
      <c r="G196" s="93" t="n"/>
      <c r="H196" s="92" t="n"/>
      <c r="I196" s="92" t="n"/>
    </row>
    <row r="197" ht="24" customHeight="1">
      <c r="A197" s="94" t="n">
        <v>5</v>
      </c>
      <c r="B197" s="91" t="inlineStr">
        <is>
          <t>Chốt ngưỡng tiêu chí nghiệm thu tại mục V với Bên A</t>
        </is>
      </c>
      <c r="C197" s="92" t="n"/>
      <c r="D197" s="93" t="n"/>
      <c r="E197" s="106" t="n"/>
      <c r="F197" s="93" t="n"/>
      <c r="G197" s="93" t="n"/>
      <c r="H197" s="92" t="n"/>
      <c r="I197" s="92" t="n"/>
    </row>
    <row r="198" ht="24" customHeight="1">
      <c r="A198" s="96" t="n">
        <v>6</v>
      </c>
      <c r="B198" s="95" t="inlineStr">
        <is>
          <t>Đo và điền kết quả kiểm thử phi chức năng (mục X)</t>
        </is>
      </c>
      <c r="C198" s="92" t="n"/>
      <c r="D198" s="93" t="n"/>
      <c r="E198" s="106" t="n"/>
      <c r="F198" s="93" t="n"/>
      <c r="G198" s="93" t="n"/>
      <c r="H198" s="92" t="n"/>
      <c r="I198" s="92" t="n"/>
    </row>
    <row r="199" ht="24" customHeight="1">
      <c r="A199" s="94" t="n">
        <v>7</v>
      </c>
      <c r="B199" s="91" t="inlineStr">
        <is>
          <t>Hoàn tất bàn giao tài liệu và tài khoản (mục XIV)</t>
        </is>
      </c>
      <c r="C199" s="92" t="n"/>
      <c r="D199" s="93" t="n"/>
      <c r="E199" s="106" t="n"/>
      <c r="F199" s="93" t="n"/>
      <c r="G199" s="93" t="n"/>
      <c r="H199" s="92" t="n"/>
      <c r="I199" s="92" t="n"/>
    </row>
    <row r="200" ht="24" customHeight="1">
      <c r="A200" s="96" t="n">
        <v>8</v>
      </c>
      <c r="B200" s="95" t="inlineStr">
        <is>
          <t>Người duyệt ký kết luận nghiệm thu (mục XVI, XVIII)</t>
        </is>
      </c>
      <c r="C200" s="92" t="n"/>
      <c r="D200" s="93" t="n"/>
      <c r="E200" s="106" t="n"/>
      <c r="F200" s="93" t="n"/>
      <c r="G200" s="93" t="n"/>
      <c r="H200" s="92" t="n"/>
      <c r="I200" s="92" t="n"/>
    </row>
    <row r="201" ht="8" customHeight="1"/>
    <row r="202" ht="22" customHeight="1">
      <c r="A202" s="11" t="inlineStr">
        <is>
          <t>XVIII. XÁC NHẬN CỦA CÁC BÊN</t>
        </is>
      </c>
      <c r="B202" s="7" t="n"/>
      <c r="C202" s="7" t="n"/>
      <c r="D202" s="7" t="n"/>
      <c r="E202" s="7" t="n"/>
      <c r="F202" s="7" t="n"/>
      <c r="G202" s="7" t="n"/>
      <c r="H202" s="7" t="n"/>
      <c r="I202" s="7" t="n"/>
    </row>
    <row r="203" ht="20" customHeight="1">
      <c r="A203" s="18" t="inlineStr">
        <is>
          <t>Biên bản được lập thành 02 bản có giá trị pháp lý như nhau, mỗi bên giữ 01 bản.</t>
        </is>
      </c>
      <c r="B203" s="5" t="n"/>
      <c r="C203" s="5" t="n"/>
      <c r="D203" s="5" t="n"/>
      <c r="E203" s="5" t="n"/>
      <c r="F203" s="5" t="n"/>
      <c r="G203" s="5" t="n"/>
      <c r="H203" s="5" t="n"/>
      <c r="I203" s="5" t="n"/>
    </row>
    <row r="204" ht="26" customHeight="1">
      <c r="A204" s="90" t="inlineStr">
        <is>
          <t>Vai trò</t>
        </is>
      </c>
      <c r="B204" s="90" t="inlineStr">
        <is>
          <t>Họ và tên</t>
        </is>
      </c>
      <c r="C204" s="90" t="inlineStr">
        <is>
          <t>Chức vụ</t>
        </is>
      </c>
      <c r="D204" s="90" t="inlineStr">
        <is>
          <t>Ý kiến / ghi chú</t>
        </is>
      </c>
      <c r="E204" s="90" t="inlineStr"/>
      <c r="F204" s="90" t="inlineStr">
        <is>
          <t>Ngày ký</t>
        </is>
      </c>
      <c r="G204" s="90" t="inlineStr">
        <is>
          <t>Chữ ký</t>
        </is>
      </c>
      <c r="H204" s="90" t="inlineStr"/>
      <c r="I204" s="90" t="inlineStr"/>
    </row>
    <row r="205" ht="56" customHeight="1">
      <c r="A205" s="113" t="inlineStr">
        <is>
          <t>ĐẠI DIỆN BÊN A (Chủ đầu tư)</t>
        </is>
      </c>
      <c r="B205" s="114" t="inlineStr"/>
      <c r="C205" s="114" t="inlineStr"/>
      <c r="D205" s="92" t="inlineStr"/>
      <c r="E205" s="88" t="n"/>
      <c r="F205" s="115" t="inlineStr"/>
      <c r="G205" s="116" t="inlineStr"/>
      <c r="H205" s="63" t="n"/>
      <c r="I205" s="63" t="n"/>
    </row>
    <row r="206" ht="56" customHeight="1">
      <c r="A206" s="117" t="inlineStr">
        <is>
          <t>ĐẠI DIỆN BÊN B (Đơn vị thực hiện)</t>
        </is>
      </c>
      <c r="B206" s="114" t="inlineStr"/>
      <c r="C206" s="114" t="inlineStr"/>
      <c r="D206" s="92" t="inlineStr"/>
      <c r="E206" s="88" t="n"/>
      <c r="F206" s="115" t="inlineStr"/>
      <c r="G206" s="116" t="inlineStr"/>
      <c r="H206" s="63" t="n"/>
      <c r="I206" s="63" t="n"/>
    </row>
    <row r="207" ht="56" customHeight="1">
      <c r="A207" s="113" t="inlineStr">
        <is>
          <t>QUẢN LÝ DỰ ÁN</t>
        </is>
      </c>
      <c r="B207" s="114" t="inlineStr"/>
      <c r="C207" s="114" t="inlineStr"/>
      <c r="D207" s="92" t="inlineStr"/>
      <c r="E207" s="88" t="n"/>
      <c r="F207" s="115" t="inlineStr"/>
      <c r="G207" s="116" t="inlineStr"/>
      <c r="H207" s="63" t="n"/>
      <c r="I207" s="63" t="n"/>
    </row>
    <row r="208" ht="56" customHeight="1">
      <c r="A208" s="117" t="inlineStr">
        <is>
          <t>QA / TESTER</t>
        </is>
      </c>
      <c r="B208" s="114" t="inlineStr"/>
      <c r="C208" s="114" t="inlineStr"/>
      <c r="D208" s="92" t="inlineStr"/>
      <c r="E208" s="88" t="n"/>
      <c r="F208" s="115" t="inlineStr"/>
      <c r="G208" s="116" t="inlineStr"/>
      <c r="H208" s="63" t="n"/>
      <c r="I208" s="63" t="n"/>
    </row>
    <row r="209" ht="56" customHeight="1">
      <c r="A209" s="113" t="inlineStr">
        <is>
          <t>NGƯỜI DUYỆT NGHIỆM THU</t>
        </is>
      </c>
      <c r="B209" s="114" t="inlineStr"/>
      <c r="C209" s="114" t="inlineStr"/>
      <c r="D209" s="92" t="inlineStr"/>
      <c r="E209" s="88" t="n"/>
      <c r="F209" s="115" t="inlineStr"/>
      <c r="G209" s="116" t="inlineStr"/>
      <c r="H209" s="63" t="n"/>
      <c r="I209" s="63" t="n"/>
    </row>
    <row r="210" ht="8" customHeight="1"/>
    <row r="211" ht="22" customHeight="1">
      <c r="A211" s="11" t="inlineStr">
        <is>
          <t>PHỤ LỤC KÈM THEO</t>
        </is>
      </c>
      <c r="B211" s="7" t="n"/>
      <c r="C211" s="7" t="n"/>
      <c r="D211" s="7" t="n"/>
      <c r="E211" s="7" t="n"/>
      <c r="F211" s="7" t="n"/>
      <c r="G211" s="7" t="n"/>
      <c r="H211" s="7" t="n"/>
      <c r="I211" s="7" t="n"/>
    </row>
    <row r="212" ht="32" customHeight="1">
      <c r="A212" s="90" t="inlineStr">
        <is>
          <t>Mã</t>
        </is>
      </c>
      <c r="B212" s="90" t="inlineStr">
        <is>
          <t>Tên phụ lục</t>
        </is>
      </c>
      <c r="C212" s="90" t="inlineStr">
        <is>
          <t>Nguồn / đường dẫn</t>
        </is>
      </c>
      <c r="D212" s="90" t="inlineStr">
        <is>
          <t>Đính kèm?</t>
        </is>
      </c>
      <c r="E212" s="90" t="inlineStr">
        <is>
          <t>Ghi chú</t>
        </is>
      </c>
      <c r="F212" s="90" t="inlineStr"/>
      <c r="G212" s="90" t="inlineStr"/>
      <c r="H212" s="90" t="inlineStr"/>
      <c r="I212" s="90" t="inlineStr"/>
    </row>
    <row r="213" ht="24" customHeight="1">
      <c r="A213" s="91" t="inlineStr">
        <is>
          <t>PL-01</t>
        </is>
      </c>
      <c r="B213" s="91" t="inlineStr">
        <is>
          <t>Danh sách trang (DS) và trạng thái kiểm thử</t>
        </is>
      </c>
      <c r="C213" s="91" t="inlineStr">
        <is>
          <t>File QA — sheet 02_UI_UX</t>
        </is>
      </c>
      <c r="D213" s="93" t="n"/>
      <c r="E213" s="92" t="n"/>
      <c r="F213" s="94" t="n"/>
      <c r="G213" s="94" t="n"/>
      <c r="H213" s="94" t="n"/>
      <c r="I213" s="94" t="n"/>
    </row>
    <row r="214" ht="24" customHeight="1">
      <c r="A214" s="95" t="inlineStr">
        <is>
          <t>PL-02</t>
        </is>
      </c>
      <c r="B214" s="95" t="inlineStr">
        <is>
          <t>Danh sách tính năng (YC) và trạng thái kiểm thử</t>
        </is>
      </c>
      <c r="C214" s="95" t="inlineStr">
        <is>
          <t>File QA — sheet 03_Tính_năng</t>
        </is>
      </c>
      <c r="D214" s="93" t="n"/>
      <c r="E214" s="92" t="n"/>
      <c r="F214" s="96" t="n"/>
      <c r="G214" s="96" t="n"/>
      <c r="H214" s="96" t="n"/>
      <c r="I214" s="96" t="n"/>
    </row>
    <row r="215" ht="24" customHeight="1">
      <c r="A215" s="91" t="inlineStr">
        <is>
          <t>PL-03</t>
        </is>
      </c>
      <c r="B215" s="91" t="inlineStr">
        <is>
          <t>Danh sách lỗi đầy đủ kèm bằng chứng</t>
        </is>
      </c>
      <c r="C215" s="91" t="inlineStr">
        <is>
          <t>File QA — sheet 05_Lỗi_Tester</t>
        </is>
      </c>
      <c r="D215" s="93" t="n"/>
      <c r="E215" s="92" t="n"/>
      <c r="F215" s="94" t="n"/>
      <c r="G215" s="94" t="n"/>
      <c r="H215" s="94" t="n"/>
      <c r="I215" s="94" t="n"/>
    </row>
    <row r="216" ht="24" customHeight="1">
      <c r="A216" s="95" t="inlineStr">
        <is>
          <t>PL-04</t>
        </is>
      </c>
      <c r="B216" s="95" t="inlineStr">
        <is>
          <t>Ma trận truy vết yêu cầu — Test Case (RTM)</t>
        </is>
      </c>
      <c r="C216" s="95" t="inlineStr">
        <is>
          <t>File QA — sheet 06_RTM_Dev_Test</t>
        </is>
      </c>
      <c r="D216" s="93" t="n"/>
      <c r="E216" s="92" t="n"/>
      <c r="F216" s="96" t="n"/>
      <c r="G216" s="96" t="n"/>
      <c r="H216" s="96" t="n"/>
      <c r="I216" s="96" t="n"/>
    </row>
    <row r="217" ht="24" customHeight="1">
      <c r="A217" s="91" t="inlineStr">
        <is>
          <t>PL-05</t>
        </is>
      </c>
      <c r="B217" s="91" t="inlineStr">
        <is>
          <t>Nhật ký công việc kiểm thử theo ngày</t>
        </is>
      </c>
      <c r="C217" s="91" t="inlineStr">
        <is>
          <t>File QA — sheet 01_Cong_viec_ngay</t>
        </is>
      </c>
      <c r="D217" s="93" t="n"/>
      <c r="E217" s="92" t="n"/>
      <c r="F217" s="94" t="n"/>
      <c r="G217" s="94" t="n"/>
      <c r="H217" s="94" t="n"/>
      <c r="I217" s="94" t="n"/>
    </row>
    <row r="218" ht="24" customHeight="1">
      <c r="A218" s="95" t="inlineStr">
        <is>
          <t>PL-06</t>
        </is>
      </c>
      <c r="B218" s="95" t="inlineStr">
        <is>
          <t>Báo cáo tiến độ theo tháng / tuần</t>
        </is>
      </c>
      <c r="C218" s="95" t="inlineStr">
        <is>
          <t>File này — sheet 01, 02</t>
        </is>
      </c>
      <c r="D218" s="93" t="n"/>
      <c r="E218" s="92" t="n"/>
      <c r="F218" s="96" t="n"/>
      <c r="G218" s="96" t="n"/>
      <c r="H218" s="96" t="n"/>
      <c r="I218" s="96" t="n"/>
    </row>
    <row r="219" ht="24" customHeight="1">
      <c r="A219" s="91" t="inlineStr">
        <is>
          <t>PL-07</t>
        </is>
      </c>
      <c r="B219" s="91" t="inlineStr">
        <is>
          <t>Kết quả đo hiệu năng và bảo mật</t>
        </is>
      </c>
      <c r="C219" s="91" t="inlineStr">
        <is>
          <t>Cần bổ sung</t>
        </is>
      </c>
      <c r="D219" s="93" t="n"/>
      <c r="E219" s="92" t="n"/>
      <c r="F219" s="94" t="n"/>
      <c r="G219" s="94" t="n"/>
      <c r="H219" s="94" t="n"/>
      <c r="I219" s="94" t="n"/>
    </row>
    <row r="220" ht="24" customHeight="1">
      <c r="A220" s="95" t="inlineStr">
        <is>
          <t>PL-08</t>
        </is>
      </c>
      <c r="B220" s="95" t="inlineStr">
        <is>
          <t>Biên bản họp chốt phạm vi và tiêu chí</t>
        </is>
      </c>
      <c r="C220" s="95" t="inlineStr">
        <is>
          <t>Cần bổ sung</t>
        </is>
      </c>
      <c r="D220" s="93" t="n"/>
      <c r="E220" s="92" t="n"/>
      <c r="F220" s="96" t="n"/>
      <c r="G220" s="96" t="n"/>
      <c r="H220" s="96" t="n"/>
      <c r="I220" s="96" t="n"/>
    </row>
  </sheetData>
  <mergeCells count="65">
    <mergeCell ref="A41:I41"/>
    <mergeCell ref="B7:C7"/>
    <mergeCell ref="H181:I181"/>
    <mergeCell ref="A149:I149"/>
    <mergeCell ref="E5:F5"/>
    <mergeCell ref="D208:E208"/>
    <mergeCell ref="A158:I158"/>
    <mergeCell ref="E181:F181"/>
    <mergeCell ref="G205:I205"/>
    <mergeCell ref="H9:I9"/>
    <mergeCell ref="E8:F8"/>
    <mergeCell ref="A21:I21"/>
    <mergeCell ref="A86:I86"/>
    <mergeCell ref="A179:I179"/>
    <mergeCell ref="B180:C180"/>
    <mergeCell ref="E180:F180"/>
    <mergeCell ref="H180:I180"/>
    <mergeCell ref="A113:I113"/>
    <mergeCell ref="A2:I2"/>
    <mergeCell ref="H6:I6"/>
    <mergeCell ref="G207:I207"/>
    <mergeCell ref="A203:I203"/>
    <mergeCell ref="G206:I206"/>
    <mergeCell ref="B181:C181"/>
    <mergeCell ref="E182:F182"/>
    <mergeCell ref="A184:I184"/>
    <mergeCell ref="B8:C8"/>
    <mergeCell ref="E9:F9"/>
    <mergeCell ref="A4:I4"/>
    <mergeCell ref="A20:I20"/>
    <mergeCell ref="F188:G188"/>
    <mergeCell ref="B182:C182"/>
    <mergeCell ref="H182:I182"/>
    <mergeCell ref="A112:I112"/>
    <mergeCell ref="E6:F6"/>
    <mergeCell ref="A68:I68"/>
    <mergeCell ref="D206:E206"/>
    <mergeCell ref="D209:E209"/>
    <mergeCell ref="A28:I28"/>
    <mergeCell ref="H7:I7"/>
    <mergeCell ref="D205:E205"/>
    <mergeCell ref="A202:I202"/>
    <mergeCell ref="A40:I40"/>
    <mergeCell ref="A211:I211"/>
    <mergeCell ref="B188:D188"/>
    <mergeCell ref="B186:I186"/>
    <mergeCell ref="A77:I77"/>
    <mergeCell ref="B9:C9"/>
    <mergeCell ref="G208:I208"/>
    <mergeCell ref="A148:I148"/>
    <mergeCell ref="A166:I166"/>
    <mergeCell ref="B6:C6"/>
    <mergeCell ref="A98:I98"/>
    <mergeCell ref="B187:I187"/>
    <mergeCell ref="A191:I191"/>
    <mergeCell ref="A11:I11"/>
    <mergeCell ref="E7:F7"/>
    <mergeCell ref="B5:C5"/>
    <mergeCell ref="A1:I1"/>
    <mergeCell ref="H5:I5"/>
    <mergeCell ref="D207:E207"/>
    <mergeCell ref="A61:I61"/>
    <mergeCell ref="B189:I189"/>
    <mergeCell ref="H8:I8"/>
    <mergeCell ref="G209:I209"/>
  </mergeCells>
  <dataValidations count="3">
    <dataValidation sqref="B188 H92 H93 H94 H95 H96" showDropDown="0" showInputMessage="0" showErrorMessage="0" allowBlank="1" type="list">
      <formula1>"Đạt,Đạt có điều kiện,Không đạt,Chưa nghiệm thu"</formula1>
    </dataValidation>
    <dataValidation sqref="E55 E56 E57 E58 E59 G100 G101 G102 G103 G104 G105 G106 G107 G108 G109 G110" showDropDown="0" showInputMessage="0" showErrorMessage="0" allowBlank="1" type="list">
      <formula1>"Đạt,Chưa đạt,Không áp dụng,Chưa đo"</formula1>
    </dataValidation>
    <dataValidation sqref="E168 E169 E170 E171 E172 E173 E174 E175 E176 E177" showDropDown="0" showInputMessage="0" showErrorMessage="0" allowBlank="1" type="list">
      <formula1>"Đã bàn giao,Chưa bàn giao,Không áp dụng"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7A5AA6"/>
    <outlinePr summaryBelow="1" summaryRight="1"/>
    <pageSetUpPr/>
  </sheetPr>
  <dimension ref="A1:N7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 ht="30" customHeight="1">
      <c r="A1" s="2" t="inlineStr">
        <is>
          <t>MỤC TIÊU KPI THEO KỲ — nhập tay (ô nền vàng)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</row>
    <row r="3" ht="22" customHeight="1">
      <c r="A3" s="11" t="inlineStr">
        <is>
          <t>MỤC TIÊU THEO THÁNG</t>
        </is>
      </c>
      <c r="B3" s="7" t="n"/>
      <c r="C3" s="7" t="n"/>
      <c r="D3" s="7" t="n"/>
      <c r="E3" s="7" t="n"/>
      <c r="F3" s="7" t="n"/>
      <c r="G3" s="7" t="n"/>
      <c r="H3" s="7" t="n"/>
      <c r="I3" s="7" t="n"/>
      <c r="J3" s="7" t="n"/>
      <c r="K3" s="7" t="n"/>
      <c r="L3" s="7" t="n"/>
      <c r="M3" s="7" t="n"/>
      <c r="N3" s="7" t="n"/>
    </row>
    <row r="4" ht="40" customHeight="1">
      <c r="A4" s="118" t="inlineStr">
        <is>
          <t>Tháng</t>
        </is>
      </c>
      <c r="B4" s="119" t="inlineStr">
        <is>
          <t>Trang hoàn thành</t>
        </is>
      </c>
      <c r="C4" s="119" t="inlineStr">
        <is>
          <t>Tính năng hoàn thành</t>
        </is>
      </c>
      <c r="D4" s="119" t="inlineStr">
        <is>
          <t>Công việc HT trong kỳ</t>
        </is>
      </c>
      <c r="E4" s="119" t="inlineStr">
        <is>
          <t>Lỗi phát hiện trong kỳ</t>
        </is>
      </c>
      <c r="F4" s="119" t="inlineStr">
        <is>
          <t>Lỗi đã xử lý (lũy kế)</t>
        </is>
      </c>
      <c r="G4" s="119" t="inlineStr">
        <is>
          <t>Số Trang đã xử lý</t>
        </is>
      </c>
      <c r="H4" s="119" t="inlineStr">
        <is>
          <t>Số Tính năng đã xử lý</t>
        </is>
      </c>
      <c r="I4" s="119" t="inlineStr">
        <is>
          <t>DB Doanh nghiệp</t>
        </is>
      </c>
      <c r="J4" s="119" t="inlineStr">
        <is>
          <t>DB HR</t>
        </is>
      </c>
      <c r="K4" s="119" t="inlineStr">
        <is>
          <t>DB Ứng viên</t>
        </is>
      </c>
      <c r="L4" s="119" t="inlineStr">
        <is>
          <t>Tin tuyển dụng</t>
        </is>
      </c>
    </row>
    <row r="5">
      <c r="A5" s="120" t="n">
        <v>1</v>
      </c>
      <c r="B5" s="121" t="n"/>
      <c r="C5" s="121" t="n"/>
      <c r="D5" s="121" t="n"/>
      <c r="E5" s="121" t="n"/>
      <c r="F5" s="121" t="n"/>
      <c r="G5" s="121" t="n"/>
      <c r="H5" s="121" t="n"/>
      <c r="I5" s="121" t="n"/>
      <c r="J5" s="121" t="n"/>
      <c r="K5" s="121" t="n"/>
      <c r="L5" s="121" t="n"/>
    </row>
    <row r="6">
      <c r="A6" s="120" t="n">
        <v>2</v>
      </c>
      <c r="B6" s="121" t="n"/>
      <c r="C6" s="121" t="n"/>
      <c r="D6" s="121" t="n"/>
      <c r="E6" s="121" t="n"/>
      <c r="F6" s="121" t="n"/>
      <c r="G6" s="121" t="n"/>
      <c r="H6" s="121" t="n"/>
      <c r="I6" s="121" t="n"/>
      <c r="J6" s="121" t="n"/>
      <c r="K6" s="121" t="n"/>
      <c r="L6" s="121" t="n"/>
    </row>
    <row r="7">
      <c r="A7" s="120" t="n">
        <v>3</v>
      </c>
      <c r="B7" s="121" t="n"/>
      <c r="C7" s="121" t="n"/>
      <c r="D7" s="121" t="n"/>
      <c r="E7" s="121" t="n"/>
      <c r="F7" s="121" t="n"/>
      <c r="G7" s="121" t="n"/>
      <c r="H7" s="121" t="n"/>
      <c r="I7" s="121" t="n"/>
      <c r="J7" s="121" t="n"/>
      <c r="K7" s="121" t="n"/>
      <c r="L7" s="121" t="n"/>
    </row>
    <row r="8">
      <c r="A8" s="120" t="n">
        <v>4</v>
      </c>
      <c r="B8" s="121" t="n"/>
      <c r="C8" s="121" t="n"/>
      <c r="D8" s="121" t="n"/>
      <c r="E8" s="121" t="n"/>
      <c r="F8" s="121" t="n"/>
      <c r="G8" s="121" t="n"/>
      <c r="H8" s="121" t="n"/>
      <c r="I8" s="121" t="n"/>
      <c r="J8" s="121" t="n"/>
      <c r="K8" s="121" t="n"/>
      <c r="L8" s="121" t="n"/>
    </row>
    <row r="9">
      <c r="A9" s="120" t="n">
        <v>5</v>
      </c>
      <c r="B9" s="121" t="n"/>
      <c r="C9" s="121" t="n"/>
      <c r="D9" s="121" t="n"/>
      <c r="E9" s="121" t="n"/>
      <c r="F9" s="121" t="n"/>
      <c r="G9" s="121" t="n"/>
      <c r="H9" s="121" t="n"/>
      <c r="I9" s="121" t="n"/>
      <c r="J9" s="121" t="n"/>
      <c r="K9" s="121" t="n"/>
      <c r="L9" s="121" t="n"/>
    </row>
    <row r="10">
      <c r="A10" s="120" t="n">
        <v>6</v>
      </c>
      <c r="B10" s="121" t="n"/>
      <c r="C10" s="121" t="n"/>
      <c r="D10" s="121" t="n"/>
      <c r="E10" s="121" t="n"/>
      <c r="F10" s="121" t="n"/>
      <c r="G10" s="121" t="n"/>
      <c r="H10" s="121" t="n"/>
      <c r="I10" s="121" t="n"/>
      <c r="J10" s="121" t="n"/>
      <c r="K10" s="121" t="n"/>
      <c r="L10" s="121" t="n"/>
    </row>
    <row r="11">
      <c r="A11" s="120" t="n">
        <v>7</v>
      </c>
      <c r="B11" s="121" t="n"/>
      <c r="C11" s="121" t="n"/>
      <c r="D11" s="121" t="n"/>
      <c r="E11" s="121" t="n"/>
      <c r="F11" s="121" t="n"/>
      <c r="G11" s="121" t="n"/>
      <c r="H11" s="121" t="n"/>
      <c r="I11" s="121" t="n"/>
      <c r="J11" s="121" t="n"/>
      <c r="K11" s="121" t="n"/>
      <c r="L11" s="121" t="n"/>
    </row>
    <row r="12">
      <c r="A12" s="120" t="n">
        <v>8</v>
      </c>
      <c r="B12" s="121" t="n"/>
      <c r="C12" s="121" t="n"/>
      <c r="D12" s="121" t="n"/>
      <c r="E12" s="121" t="n"/>
      <c r="F12" s="121" t="n"/>
      <c r="G12" s="121" t="n"/>
      <c r="H12" s="121" t="n"/>
      <c r="I12" s="121" t="n"/>
      <c r="J12" s="121" t="n"/>
      <c r="K12" s="121" t="n"/>
      <c r="L12" s="121" t="n"/>
    </row>
    <row r="13">
      <c r="A13" s="120" t="n">
        <v>9</v>
      </c>
      <c r="B13" s="121" t="n"/>
      <c r="C13" s="121" t="n"/>
      <c r="D13" s="121" t="n"/>
      <c r="E13" s="121" t="n"/>
      <c r="F13" s="121" t="n"/>
      <c r="G13" s="121" t="n"/>
      <c r="H13" s="121" t="n"/>
      <c r="I13" s="121" t="n"/>
      <c r="J13" s="121" t="n"/>
      <c r="K13" s="121" t="n"/>
      <c r="L13" s="121" t="n"/>
    </row>
    <row r="14">
      <c r="A14" s="120" t="n">
        <v>10</v>
      </c>
      <c r="B14" s="121" t="n"/>
      <c r="C14" s="121" t="n"/>
      <c r="D14" s="121" t="n"/>
      <c r="E14" s="121" t="n"/>
      <c r="F14" s="121" t="n"/>
      <c r="G14" s="121" t="n"/>
      <c r="H14" s="121" t="n"/>
      <c r="I14" s="121" t="n"/>
      <c r="J14" s="121" t="n"/>
      <c r="K14" s="121" t="n"/>
      <c r="L14" s="121" t="n"/>
    </row>
    <row r="15">
      <c r="A15" s="120" t="n">
        <v>11</v>
      </c>
      <c r="B15" s="121" t="n"/>
      <c r="C15" s="121" t="n"/>
      <c r="D15" s="121" t="n"/>
      <c r="E15" s="121" t="n"/>
      <c r="F15" s="121" t="n"/>
      <c r="G15" s="121" t="n"/>
      <c r="H15" s="121" t="n"/>
      <c r="I15" s="121" t="n"/>
      <c r="J15" s="121" t="n"/>
      <c r="K15" s="121" t="n"/>
      <c r="L15" s="121" t="n"/>
    </row>
    <row r="16">
      <c r="A16" s="120" t="n">
        <v>12</v>
      </c>
      <c r="B16" s="121" t="n"/>
      <c r="C16" s="121" t="n"/>
      <c r="D16" s="121" t="n"/>
      <c r="E16" s="121" t="n"/>
      <c r="F16" s="121" t="n"/>
      <c r="G16" s="121" t="n"/>
      <c r="H16" s="121" t="n"/>
      <c r="I16" s="121" t="n"/>
      <c r="J16" s="121" t="n"/>
      <c r="K16" s="121" t="n"/>
      <c r="L16" s="121" t="n"/>
    </row>
    <row r="18" ht="22" customHeight="1">
      <c r="A18" s="11" t="inlineStr">
        <is>
          <t>MỤC TIÊU THEO TUẦN</t>
        </is>
      </c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</row>
    <row r="19" ht="40" customHeight="1">
      <c r="A19" s="118" t="inlineStr">
        <is>
          <t>Tháng</t>
        </is>
      </c>
      <c r="B19" s="118" t="inlineStr">
        <is>
          <t>Tuần</t>
        </is>
      </c>
      <c r="C19" s="122" t="inlineStr">
        <is>
          <t>Key</t>
        </is>
      </c>
      <c r="D19" s="119" t="inlineStr">
        <is>
          <t>Trang hoàn thành</t>
        </is>
      </c>
      <c r="E19" s="119" t="inlineStr">
        <is>
          <t>Tính năng hoàn thành</t>
        </is>
      </c>
      <c r="F19" s="119" t="inlineStr">
        <is>
          <t>Công việc HT trong kỳ</t>
        </is>
      </c>
      <c r="G19" s="119" t="inlineStr">
        <is>
          <t>Lỗi phát hiện trong kỳ</t>
        </is>
      </c>
      <c r="H19" s="119" t="inlineStr">
        <is>
          <t>Lỗi đã xử lý (lũy kế)</t>
        </is>
      </c>
      <c r="I19" s="119" t="inlineStr">
        <is>
          <t>Số Trang đã xử lý</t>
        </is>
      </c>
      <c r="J19" s="119" t="inlineStr">
        <is>
          <t>Số Tính năng đã xử lý</t>
        </is>
      </c>
      <c r="K19" s="119" t="inlineStr">
        <is>
          <t>DB Doanh nghiệp</t>
        </is>
      </c>
      <c r="L19" s="119" t="inlineStr">
        <is>
          <t>DB HR</t>
        </is>
      </c>
      <c r="M19" s="119" t="inlineStr">
        <is>
          <t>DB Ứng viên</t>
        </is>
      </c>
      <c r="N19" s="119" t="inlineStr">
        <is>
          <t>Tin tuyển dụng</t>
        </is>
      </c>
    </row>
    <row r="20">
      <c r="A20" s="123" t="n">
        <v>1</v>
      </c>
      <c r="B20" s="123" t="n">
        <v>1</v>
      </c>
      <c r="C20" s="124">
        <f>A20*10+B20</f>
        <v/>
      </c>
      <c r="D20" s="121" t="n"/>
      <c r="E20" s="121" t="n"/>
      <c r="F20" s="121" t="n"/>
      <c r="G20" s="121" t="n"/>
      <c r="H20" s="121" t="n"/>
      <c r="I20" s="121" t="n"/>
      <c r="J20" s="121" t="n"/>
      <c r="K20" s="121" t="n"/>
      <c r="L20" s="121" t="n"/>
      <c r="M20" s="121" t="n"/>
      <c r="N20" s="121" t="n"/>
    </row>
    <row r="21">
      <c r="A21" s="123" t="n">
        <v>1</v>
      </c>
      <c r="B21" s="123" t="n">
        <v>2</v>
      </c>
      <c r="C21" s="124">
        <f>A21*10+B21</f>
        <v/>
      </c>
      <c r="D21" s="121" t="n"/>
      <c r="E21" s="121" t="n"/>
      <c r="F21" s="121" t="n"/>
      <c r="G21" s="121" t="n"/>
      <c r="H21" s="121" t="n"/>
      <c r="I21" s="121" t="n"/>
      <c r="J21" s="121" t="n"/>
      <c r="K21" s="121" t="n"/>
      <c r="L21" s="121" t="n"/>
      <c r="M21" s="121" t="n"/>
      <c r="N21" s="121" t="n"/>
    </row>
    <row r="22">
      <c r="A22" s="123" t="n">
        <v>1</v>
      </c>
      <c r="B22" s="123" t="n">
        <v>3</v>
      </c>
      <c r="C22" s="124">
        <f>A22*10+B22</f>
        <v/>
      </c>
      <c r="D22" s="121" t="n"/>
      <c r="E22" s="121" t="n"/>
      <c r="F22" s="121" t="n"/>
      <c r="G22" s="121" t="n"/>
      <c r="H22" s="121" t="n"/>
      <c r="I22" s="121" t="n"/>
      <c r="J22" s="121" t="n"/>
      <c r="K22" s="121" t="n"/>
      <c r="L22" s="121" t="n"/>
      <c r="M22" s="121" t="n"/>
      <c r="N22" s="121" t="n"/>
    </row>
    <row r="23">
      <c r="A23" s="123" t="n">
        <v>1</v>
      </c>
      <c r="B23" s="123" t="n">
        <v>4</v>
      </c>
      <c r="C23" s="124">
        <f>A23*10+B23</f>
        <v/>
      </c>
      <c r="D23" s="121" t="n"/>
      <c r="E23" s="121" t="n"/>
      <c r="F23" s="121" t="n"/>
      <c r="G23" s="121" t="n"/>
      <c r="H23" s="121" t="n"/>
      <c r="I23" s="121" t="n"/>
      <c r="J23" s="121" t="n"/>
      <c r="K23" s="121" t="n"/>
      <c r="L23" s="121" t="n"/>
      <c r="M23" s="121" t="n"/>
      <c r="N23" s="121" t="n"/>
    </row>
    <row r="24">
      <c r="A24" s="123" t="n">
        <v>1</v>
      </c>
      <c r="B24" s="123" t="n">
        <v>5</v>
      </c>
      <c r="C24" s="124">
        <f>A24*10+B24</f>
        <v/>
      </c>
      <c r="D24" s="121" t="n"/>
      <c r="E24" s="121" t="n"/>
      <c r="F24" s="121" t="n"/>
      <c r="G24" s="121" t="n"/>
      <c r="H24" s="121" t="n"/>
      <c r="I24" s="121" t="n"/>
      <c r="J24" s="121" t="n"/>
      <c r="K24" s="121" t="n"/>
      <c r="L24" s="121" t="n"/>
      <c r="M24" s="121" t="n"/>
      <c r="N24" s="121" t="n"/>
    </row>
    <row r="25">
      <c r="A25" s="123" t="n">
        <v>2</v>
      </c>
      <c r="B25" s="123" t="n">
        <v>1</v>
      </c>
      <c r="C25" s="124">
        <f>A25*10+B25</f>
        <v/>
      </c>
      <c r="D25" s="121" t="n"/>
      <c r="E25" s="121" t="n"/>
      <c r="F25" s="121" t="n"/>
      <c r="G25" s="121" t="n"/>
      <c r="H25" s="121" t="n"/>
      <c r="I25" s="121" t="n"/>
      <c r="J25" s="121" t="n"/>
      <c r="K25" s="121" t="n"/>
      <c r="L25" s="121" t="n"/>
      <c r="M25" s="121" t="n"/>
      <c r="N25" s="121" t="n"/>
    </row>
    <row r="26">
      <c r="A26" s="123" t="n">
        <v>2</v>
      </c>
      <c r="B26" s="123" t="n">
        <v>2</v>
      </c>
      <c r="C26" s="124">
        <f>A26*10+B26</f>
        <v/>
      </c>
      <c r="D26" s="121" t="n"/>
      <c r="E26" s="121" t="n"/>
      <c r="F26" s="121" t="n"/>
      <c r="G26" s="121" t="n"/>
      <c r="H26" s="121" t="n"/>
      <c r="I26" s="121" t="n"/>
      <c r="J26" s="121" t="n"/>
      <c r="K26" s="121" t="n"/>
      <c r="L26" s="121" t="n"/>
      <c r="M26" s="121" t="n"/>
      <c r="N26" s="121" t="n"/>
    </row>
    <row r="27">
      <c r="A27" s="123" t="n">
        <v>2</v>
      </c>
      <c r="B27" s="123" t="n">
        <v>3</v>
      </c>
      <c r="C27" s="124">
        <f>A27*10+B27</f>
        <v/>
      </c>
      <c r="D27" s="121" t="n"/>
      <c r="E27" s="121" t="n"/>
      <c r="F27" s="121" t="n"/>
      <c r="G27" s="121" t="n"/>
      <c r="H27" s="121" t="n"/>
      <c r="I27" s="121" t="n"/>
      <c r="J27" s="121" t="n"/>
      <c r="K27" s="121" t="n"/>
      <c r="L27" s="121" t="n"/>
      <c r="M27" s="121" t="n"/>
      <c r="N27" s="121" t="n"/>
    </row>
    <row r="28">
      <c r="A28" s="123" t="n">
        <v>2</v>
      </c>
      <c r="B28" s="123" t="n">
        <v>4</v>
      </c>
      <c r="C28" s="124">
        <f>A28*10+B28</f>
        <v/>
      </c>
      <c r="D28" s="121" t="n"/>
      <c r="E28" s="121" t="n"/>
      <c r="F28" s="121" t="n"/>
      <c r="G28" s="121" t="n"/>
      <c r="H28" s="121" t="n"/>
      <c r="I28" s="121" t="n"/>
      <c r="J28" s="121" t="n"/>
      <c r="K28" s="121" t="n"/>
      <c r="L28" s="121" t="n"/>
      <c r="M28" s="121" t="n"/>
      <c r="N28" s="121" t="n"/>
    </row>
    <row r="29">
      <c r="A29" s="123" t="n">
        <v>2</v>
      </c>
      <c r="B29" s="123" t="n">
        <v>5</v>
      </c>
      <c r="C29" s="124">
        <f>A29*10+B29</f>
        <v/>
      </c>
      <c r="D29" s="121" t="n"/>
      <c r="E29" s="121" t="n"/>
      <c r="F29" s="121" t="n"/>
      <c r="G29" s="121" t="n"/>
      <c r="H29" s="121" t="n"/>
      <c r="I29" s="121" t="n"/>
      <c r="J29" s="121" t="n"/>
      <c r="K29" s="121" t="n"/>
      <c r="L29" s="121" t="n"/>
      <c r="M29" s="121" t="n"/>
      <c r="N29" s="121" t="n"/>
    </row>
    <row r="30">
      <c r="A30" s="123" t="n">
        <v>3</v>
      </c>
      <c r="B30" s="123" t="n">
        <v>1</v>
      </c>
      <c r="C30" s="124">
        <f>A30*10+B30</f>
        <v/>
      </c>
      <c r="D30" s="121" t="n"/>
      <c r="E30" s="121" t="n"/>
      <c r="F30" s="121" t="n"/>
      <c r="G30" s="121" t="n"/>
      <c r="H30" s="121" t="n"/>
      <c r="I30" s="121" t="n"/>
      <c r="J30" s="121" t="n"/>
      <c r="K30" s="121" t="n"/>
      <c r="L30" s="121" t="n"/>
      <c r="M30" s="121" t="n"/>
      <c r="N30" s="121" t="n"/>
    </row>
    <row r="31">
      <c r="A31" s="123" t="n">
        <v>3</v>
      </c>
      <c r="B31" s="123" t="n">
        <v>2</v>
      </c>
      <c r="C31" s="124">
        <f>A31*10+B31</f>
        <v/>
      </c>
      <c r="D31" s="121" t="n"/>
      <c r="E31" s="121" t="n"/>
      <c r="F31" s="121" t="n"/>
      <c r="G31" s="121" t="n"/>
      <c r="H31" s="121" t="n"/>
      <c r="I31" s="121" t="n"/>
      <c r="J31" s="121" t="n"/>
      <c r="K31" s="121" t="n"/>
      <c r="L31" s="121" t="n"/>
      <c r="M31" s="121" t="n"/>
      <c r="N31" s="121" t="n"/>
    </row>
    <row r="32">
      <c r="A32" s="123" t="n">
        <v>3</v>
      </c>
      <c r="B32" s="123" t="n">
        <v>3</v>
      </c>
      <c r="C32" s="124">
        <f>A32*10+B32</f>
        <v/>
      </c>
      <c r="D32" s="121" t="n"/>
      <c r="E32" s="121" t="n"/>
      <c r="F32" s="121" t="n"/>
      <c r="G32" s="121" t="n"/>
      <c r="H32" s="121" t="n"/>
      <c r="I32" s="121" t="n"/>
      <c r="J32" s="121" t="n"/>
      <c r="K32" s="121" t="n"/>
      <c r="L32" s="121" t="n"/>
      <c r="M32" s="121" t="n"/>
      <c r="N32" s="121" t="n"/>
    </row>
    <row r="33">
      <c r="A33" s="123" t="n">
        <v>3</v>
      </c>
      <c r="B33" s="123" t="n">
        <v>4</v>
      </c>
      <c r="C33" s="124">
        <f>A33*10+B33</f>
        <v/>
      </c>
      <c r="D33" s="121" t="n"/>
      <c r="E33" s="121" t="n"/>
      <c r="F33" s="121" t="n"/>
      <c r="G33" s="121" t="n"/>
      <c r="H33" s="121" t="n"/>
      <c r="I33" s="121" t="n"/>
      <c r="J33" s="121" t="n"/>
      <c r="K33" s="121" t="n"/>
      <c r="L33" s="121" t="n"/>
      <c r="M33" s="121" t="n"/>
      <c r="N33" s="121" t="n"/>
    </row>
    <row r="34">
      <c r="A34" s="123" t="n">
        <v>3</v>
      </c>
      <c r="B34" s="123" t="n">
        <v>5</v>
      </c>
      <c r="C34" s="124">
        <f>A34*10+B34</f>
        <v/>
      </c>
      <c r="D34" s="121" t="n"/>
      <c r="E34" s="121" t="n"/>
      <c r="F34" s="121" t="n"/>
      <c r="G34" s="121" t="n"/>
      <c r="H34" s="121" t="n"/>
      <c r="I34" s="121" t="n"/>
      <c r="J34" s="121" t="n"/>
      <c r="K34" s="121" t="n"/>
      <c r="L34" s="121" t="n"/>
      <c r="M34" s="121" t="n"/>
      <c r="N34" s="121" t="n"/>
    </row>
    <row r="35">
      <c r="A35" s="123" t="n">
        <v>4</v>
      </c>
      <c r="B35" s="123" t="n">
        <v>1</v>
      </c>
      <c r="C35" s="124">
        <f>A35*10+B35</f>
        <v/>
      </c>
      <c r="D35" s="121" t="n"/>
      <c r="E35" s="121" t="n"/>
      <c r="F35" s="121" t="n"/>
      <c r="G35" s="121" t="n"/>
      <c r="H35" s="121" t="n"/>
      <c r="I35" s="121" t="n"/>
      <c r="J35" s="121" t="n"/>
      <c r="K35" s="121" t="n"/>
      <c r="L35" s="121" t="n"/>
      <c r="M35" s="121" t="n"/>
      <c r="N35" s="121" t="n"/>
    </row>
    <row r="36">
      <c r="A36" s="123" t="n">
        <v>4</v>
      </c>
      <c r="B36" s="123" t="n">
        <v>2</v>
      </c>
      <c r="C36" s="124">
        <f>A36*10+B36</f>
        <v/>
      </c>
      <c r="D36" s="121" t="n"/>
      <c r="E36" s="121" t="n"/>
      <c r="F36" s="121" t="n"/>
      <c r="G36" s="121" t="n"/>
      <c r="H36" s="121" t="n"/>
      <c r="I36" s="121" t="n"/>
      <c r="J36" s="121" t="n"/>
      <c r="K36" s="121" t="n"/>
      <c r="L36" s="121" t="n"/>
      <c r="M36" s="121" t="n"/>
      <c r="N36" s="121" t="n"/>
    </row>
    <row r="37">
      <c r="A37" s="123" t="n">
        <v>4</v>
      </c>
      <c r="B37" s="123" t="n">
        <v>3</v>
      </c>
      <c r="C37" s="124">
        <f>A37*10+B37</f>
        <v/>
      </c>
      <c r="D37" s="121" t="n"/>
      <c r="E37" s="121" t="n"/>
      <c r="F37" s="121" t="n"/>
      <c r="G37" s="121" t="n"/>
      <c r="H37" s="121" t="n"/>
      <c r="I37" s="121" t="n"/>
      <c r="J37" s="121" t="n"/>
      <c r="K37" s="121" t="n"/>
      <c r="L37" s="121" t="n"/>
      <c r="M37" s="121" t="n"/>
      <c r="N37" s="121" t="n"/>
    </row>
    <row r="38">
      <c r="A38" s="123" t="n">
        <v>4</v>
      </c>
      <c r="B38" s="123" t="n">
        <v>4</v>
      </c>
      <c r="C38" s="124">
        <f>A38*10+B38</f>
        <v/>
      </c>
      <c r="D38" s="121" t="n"/>
      <c r="E38" s="121" t="n"/>
      <c r="F38" s="121" t="n"/>
      <c r="G38" s="121" t="n"/>
      <c r="H38" s="121" t="n"/>
      <c r="I38" s="121" t="n"/>
      <c r="J38" s="121" t="n"/>
      <c r="K38" s="121" t="n"/>
      <c r="L38" s="121" t="n"/>
      <c r="M38" s="121" t="n"/>
      <c r="N38" s="121" t="n"/>
    </row>
    <row r="39">
      <c r="A39" s="123" t="n">
        <v>4</v>
      </c>
      <c r="B39" s="123" t="n">
        <v>5</v>
      </c>
      <c r="C39" s="124">
        <f>A39*10+B39</f>
        <v/>
      </c>
      <c r="D39" s="121" t="n"/>
      <c r="E39" s="121" t="n"/>
      <c r="F39" s="121" t="n"/>
      <c r="G39" s="121" t="n"/>
      <c r="H39" s="121" t="n"/>
      <c r="I39" s="121" t="n"/>
      <c r="J39" s="121" t="n"/>
      <c r="K39" s="121" t="n"/>
      <c r="L39" s="121" t="n"/>
      <c r="M39" s="121" t="n"/>
      <c r="N39" s="121" t="n"/>
    </row>
    <row r="40">
      <c r="A40" s="123" t="n">
        <v>5</v>
      </c>
      <c r="B40" s="123" t="n">
        <v>1</v>
      </c>
      <c r="C40" s="124">
        <f>A40*10+B40</f>
        <v/>
      </c>
      <c r="D40" s="121" t="n"/>
      <c r="E40" s="121" t="n"/>
      <c r="F40" s="121" t="n"/>
      <c r="G40" s="121" t="n"/>
      <c r="H40" s="121" t="n"/>
      <c r="I40" s="121" t="n"/>
      <c r="J40" s="121" t="n"/>
      <c r="K40" s="121" t="n"/>
      <c r="L40" s="121" t="n"/>
      <c r="M40" s="121" t="n"/>
      <c r="N40" s="121" t="n"/>
    </row>
    <row r="41">
      <c r="A41" s="123" t="n">
        <v>5</v>
      </c>
      <c r="B41" s="123" t="n">
        <v>2</v>
      </c>
      <c r="C41" s="124">
        <f>A41*10+B41</f>
        <v/>
      </c>
      <c r="D41" s="121" t="n"/>
      <c r="E41" s="121" t="n"/>
      <c r="F41" s="121" t="n"/>
      <c r="G41" s="121" t="n"/>
      <c r="H41" s="121" t="n"/>
      <c r="I41" s="121" t="n"/>
      <c r="J41" s="121" t="n"/>
      <c r="K41" s="121" t="n"/>
      <c r="L41" s="121" t="n"/>
      <c r="M41" s="121" t="n"/>
      <c r="N41" s="121" t="n"/>
    </row>
    <row r="42">
      <c r="A42" s="123" t="n">
        <v>5</v>
      </c>
      <c r="B42" s="123" t="n">
        <v>3</v>
      </c>
      <c r="C42" s="124">
        <f>A42*10+B42</f>
        <v/>
      </c>
      <c r="D42" s="121" t="n"/>
      <c r="E42" s="121" t="n"/>
      <c r="F42" s="121" t="n"/>
      <c r="G42" s="121" t="n"/>
      <c r="H42" s="121" t="n"/>
      <c r="I42" s="121" t="n"/>
      <c r="J42" s="121" t="n"/>
      <c r="K42" s="121" t="n"/>
      <c r="L42" s="121" t="n"/>
      <c r="M42" s="121" t="n"/>
      <c r="N42" s="121" t="n"/>
    </row>
    <row r="43">
      <c r="A43" s="123" t="n">
        <v>5</v>
      </c>
      <c r="B43" s="123" t="n">
        <v>4</v>
      </c>
      <c r="C43" s="124">
        <f>A43*10+B43</f>
        <v/>
      </c>
      <c r="D43" s="121" t="n"/>
      <c r="E43" s="121" t="n"/>
      <c r="F43" s="121" t="n"/>
      <c r="G43" s="121" t="n"/>
      <c r="H43" s="121" t="n"/>
      <c r="I43" s="121" t="n"/>
      <c r="J43" s="121" t="n"/>
      <c r="K43" s="121" t="n"/>
      <c r="L43" s="121" t="n"/>
      <c r="M43" s="121" t="n"/>
      <c r="N43" s="121" t="n"/>
    </row>
    <row r="44">
      <c r="A44" s="123" t="n">
        <v>5</v>
      </c>
      <c r="B44" s="123" t="n">
        <v>5</v>
      </c>
      <c r="C44" s="124">
        <f>A44*10+B44</f>
        <v/>
      </c>
      <c r="D44" s="121" t="n"/>
      <c r="E44" s="121" t="n"/>
      <c r="F44" s="121" t="n"/>
      <c r="G44" s="121" t="n"/>
      <c r="H44" s="121" t="n"/>
      <c r="I44" s="121" t="n"/>
      <c r="J44" s="121" t="n"/>
      <c r="K44" s="121" t="n"/>
      <c r="L44" s="121" t="n"/>
      <c r="M44" s="121" t="n"/>
      <c r="N44" s="121" t="n"/>
    </row>
    <row r="45">
      <c r="A45" s="123" t="n">
        <v>6</v>
      </c>
      <c r="B45" s="123" t="n">
        <v>1</v>
      </c>
      <c r="C45" s="124">
        <f>A45*10+B45</f>
        <v/>
      </c>
      <c r="D45" s="121" t="n"/>
      <c r="E45" s="121" t="n"/>
      <c r="F45" s="121" t="n"/>
      <c r="G45" s="121" t="n"/>
      <c r="H45" s="121" t="n"/>
      <c r="I45" s="121" t="n"/>
      <c r="J45" s="121" t="n"/>
      <c r="K45" s="121" t="n"/>
      <c r="L45" s="121" t="n"/>
      <c r="M45" s="121" t="n"/>
      <c r="N45" s="121" t="n"/>
    </row>
    <row r="46">
      <c r="A46" s="123" t="n">
        <v>6</v>
      </c>
      <c r="B46" s="123" t="n">
        <v>2</v>
      </c>
      <c r="C46" s="124">
        <f>A46*10+B46</f>
        <v/>
      </c>
      <c r="D46" s="121" t="n"/>
      <c r="E46" s="121" t="n"/>
      <c r="F46" s="121" t="n"/>
      <c r="G46" s="121" t="n"/>
      <c r="H46" s="121" t="n"/>
      <c r="I46" s="121" t="n"/>
      <c r="J46" s="121" t="n"/>
      <c r="K46" s="121" t="n"/>
      <c r="L46" s="121" t="n"/>
      <c r="M46" s="121" t="n"/>
      <c r="N46" s="121" t="n"/>
    </row>
    <row r="47">
      <c r="A47" s="123" t="n">
        <v>6</v>
      </c>
      <c r="B47" s="123" t="n">
        <v>3</v>
      </c>
      <c r="C47" s="124">
        <f>A47*10+B47</f>
        <v/>
      </c>
      <c r="D47" s="121" t="n"/>
      <c r="E47" s="121" t="n"/>
      <c r="F47" s="121" t="n"/>
      <c r="G47" s="121" t="n"/>
      <c r="H47" s="121" t="n"/>
      <c r="I47" s="121" t="n"/>
      <c r="J47" s="121" t="n"/>
      <c r="K47" s="121" t="n"/>
      <c r="L47" s="121" t="n"/>
      <c r="M47" s="121" t="n"/>
      <c r="N47" s="121" t="n"/>
    </row>
    <row r="48">
      <c r="A48" s="123" t="n">
        <v>6</v>
      </c>
      <c r="B48" s="123" t="n">
        <v>4</v>
      </c>
      <c r="C48" s="124">
        <f>A48*10+B48</f>
        <v/>
      </c>
      <c r="D48" s="121" t="n"/>
      <c r="E48" s="121" t="n"/>
      <c r="F48" s="121" t="n"/>
      <c r="G48" s="121" t="n"/>
      <c r="H48" s="121" t="n"/>
      <c r="I48" s="121" t="n"/>
      <c r="J48" s="121" t="n"/>
      <c r="K48" s="121" t="n"/>
      <c r="L48" s="121" t="n"/>
      <c r="M48" s="121" t="n"/>
      <c r="N48" s="121" t="n"/>
    </row>
    <row r="49">
      <c r="A49" s="123" t="n">
        <v>6</v>
      </c>
      <c r="B49" s="123" t="n">
        <v>5</v>
      </c>
      <c r="C49" s="124">
        <f>A49*10+B49</f>
        <v/>
      </c>
      <c r="D49" s="121" t="n"/>
      <c r="E49" s="121" t="n"/>
      <c r="F49" s="121" t="n"/>
      <c r="G49" s="121" t="n"/>
      <c r="H49" s="121" t="n"/>
      <c r="I49" s="121" t="n"/>
      <c r="J49" s="121" t="n"/>
      <c r="K49" s="121" t="n"/>
      <c r="L49" s="121" t="n"/>
      <c r="M49" s="121" t="n"/>
      <c r="N49" s="121" t="n"/>
    </row>
    <row r="50">
      <c r="A50" s="123" t="n">
        <v>7</v>
      </c>
      <c r="B50" s="123" t="n">
        <v>1</v>
      </c>
      <c r="C50" s="124">
        <f>A50*10+B50</f>
        <v/>
      </c>
      <c r="D50" s="121" t="n"/>
      <c r="E50" s="121" t="n"/>
      <c r="F50" s="121" t="n"/>
      <c r="G50" s="121" t="n"/>
      <c r="H50" s="121" t="n"/>
      <c r="I50" s="121" t="n"/>
      <c r="J50" s="121" t="n"/>
      <c r="K50" s="121" t="n"/>
      <c r="L50" s="121" t="n"/>
      <c r="M50" s="121" t="n"/>
      <c r="N50" s="121" t="n"/>
    </row>
    <row r="51">
      <c r="A51" s="123" t="n">
        <v>7</v>
      </c>
      <c r="B51" s="123" t="n">
        <v>2</v>
      </c>
      <c r="C51" s="124">
        <f>A51*10+B51</f>
        <v/>
      </c>
      <c r="D51" s="121" t="n"/>
      <c r="E51" s="121" t="n"/>
      <c r="F51" s="121" t="n"/>
      <c r="G51" s="121" t="n"/>
      <c r="H51" s="121" t="n"/>
      <c r="I51" s="121" t="n"/>
      <c r="J51" s="121" t="n"/>
      <c r="K51" s="121" t="n"/>
      <c r="L51" s="121" t="n"/>
      <c r="M51" s="121" t="n"/>
      <c r="N51" s="121" t="n"/>
    </row>
    <row r="52">
      <c r="A52" s="123" t="n">
        <v>7</v>
      </c>
      <c r="B52" s="123" t="n">
        <v>3</v>
      </c>
      <c r="C52" s="124">
        <f>A52*10+B52</f>
        <v/>
      </c>
      <c r="D52" s="121" t="n"/>
      <c r="E52" s="121" t="n"/>
      <c r="F52" s="121" t="n"/>
      <c r="G52" s="121" t="n"/>
      <c r="H52" s="121" t="n"/>
      <c r="I52" s="121" t="n"/>
      <c r="J52" s="121" t="n"/>
      <c r="K52" s="121" t="n"/>
      <c r="L52" s="121" t="n"/>
      <c r="M52" s="121" t="n"/>
      <c r="N52" s="121" t="n"/>
    </row>
    <row r="53">
      <c r="A53" s="123" t="n">
        <v>7</v>
      </c>
      <c r="B53" s="123" t="n">
        <v>4</v>
      </c>
      <c r="C53" s="124">
        <f>A53*10+B53</f>
        <v/>
      </c>
      <c r="D53" s="121" t="n"/>
      <c r="E53" s="121" t="n"/>
      <c r="F53" s="121" t="n"/>
      <c r="G53" s="121" t="n"/>
      <c r="H53" s="121" t="n"/>
      <c r="I53" s="121" t="n"/>
      <c r="J53" s="121" t="n"/>
      <c r="K53" s="121" t="n"/>
      <c r="L53" s="121" t="n"/>
      <c r="M53" s="121" t="n"/>
      <c r="N53" s="121" t="n"/>
    </row>
    <row r="54">
      <c r="A54" s="123" t="n">
        <v>7</v>
      </c>
      <c r="B54" s="123" t="n">
        <v>5</v>
      </c>
      <c r="C54" s="124">
        <f>A54*10+B54</f>
        <v/>
      </c>
      <c r="D54" s="121" t="n"/>
      <c r="E54" s="121" t="n"/>
      <c r="F54" s="121" t="n"/>
      <c r="G54" s="121" t="n"/>
      <c r="H54" s="121" t="n"/>
      <c r="I54" s="121" t="n"/>
      <c r="J54" s="121" t="n"/>
      <c r="K54" s="121" t="n"/>
      <c r="L54" s="121" t="n"/>
      <c r="M54" s="121" t="n"/>
      <c r="N54" s="121" t="n"/>
    </row>
    <row r="55">
      <c r="A55" s="123" t="n">
        <v>8</v>
      </c>
      <c r="B55" s="123" t="n">
        <v>1</v>
      </c>
      <c r="C55" s="124">
        <f>A55*10+B55</f>
        <v/>
      </c>
      <c r="D55" s="121" t="n"/>
      <c r="E55" s="121" t="n"/>
      <c r="F55" s="121" t="n"/>
      <c r="G55" s="121" t="n"/>
      <c r="H55" s="121" t="n"/>
      <c r="I55" s="121" t="n"/>
      <c r="J55" s="121" t="n"/>
      <c r="K55" s="121" t="n"/>
      <c r="L55" s="121" t="n"/>
      <c r="M55" s="121" t="n"/>
      <c r="N55" s="121" t="n"/>
    </row>
    <row r="56">
      <c r="A56" s="123" t="n">
        <v>8</v>
      </c>
      <c r="B56" s="123" t="n">
        <v>2</v>
      </c>
      <c r="C56" s="124">
        <f>A56*10+B56</f>
        <v/>
      </c>
      <c r="D56" s="121" t="n"/>
      <c r="E56" s="121" t="n"/>
      <c r="F56" s="121" t="n"/>
      <c r="G56" s="121" t="n"/>
      <c r="H56" s="121" t="n"/>
      <c r="I56" s="121" t="n"/>
      <c r="J56" s="121" t="n"/>
      <c r="K56" s="121" t="n"/>
      <c r="L56" s="121" t="n"/>
      <c r="M56" s="121" t="n"/>
      <c r="N56" s="121" t="n"/>
    </row>
    <row r="57">
      <c r="A57" s="123" t="n">
        <v>8</v>
      </c>
      <c r="B57" s="123" t="n">
        <v>3</v>
      </c>
      <c r="C57" s="124">
        <f>A57*10+B57</f>
        <v/>
      </c>
      <c r="D57" s="121" t="n"/>
      <c r="E57" s="121" t="n"/>
      <c r="F57" s="121" t="n"/>
      <c r="G57" s="121" t="n"/>
      <c r="H57" s="121" t="n"/>
      <c r="I57" s="121" t="n"/>
      <c r="J57" s="121" t="n"/>
      <c r="K57" s="121" t="n"/>
      <c r="L57" s="121" t="n"/>
      <c r="M57" s="121" t="n"/>
      <c r="N57" s="121" t="n"/>
    </row>
    <row r="58">
      <c r="A58" s="123" t="n">
        <v>8</v>
      </c>
      <c r="B58" s="123" t="n">
        <v>4</v>
      </c>
      <c r="C58" s="124">
        <f>A58*10+B58</f>
        <v/>
      </c>
      <c r="D58" s="121" t="n"/>
      <c r="E58" s="121" t="n"/>
      <c r="F58" s="121" t="n"/>
      <c r="G58" s="121" t="n"/>
      <c r="H58" s="121" t="n"/>
      <c r="I58" s="121" t="n"/>
      <c r="J58" s="121" t="n"/>
      <c r="K58" s="121" t="n"/>
      <c r="L58" s="121" t="n"/>
      <c r="M58" s="121" t="n"/>
      <c r="N58" s="121" t="n"/>
    </row>
    <row r="59">
      <c r="A59" s="123" t="n">
        <v>8</v>
      </c>
      <c r="B59" s="123" t="n">
        <v>5</v>
      </c>
      <c r="C59" s="124">
        <f>A59*10+B59</f>
        <v/>
      </c>
      <c r="D59" s="121" t="n"/>
      <c r="E59" s="121" t="n"/>
      <c r="F59" s="121" t="n"/>
      <c r="G59" s="121" t="n"/>
      <c r="H59" s="121" t="n"/>
      <c r="I59" s="121" t="n"/>
      <c r="J59" s="121" t="n"/>
      <c r="K59" s="121" t="n"/>
      <c r="L59" s="121" t="n"/>
      <c r="M59" s="121" t="n"/>
      <c r="N59" s="121" t="n"/>
    </row>
    <row r="60">
      <c r="A60" s="123" t="n">
        <v>9</v>
      </c>
      <c r="B60" s="123" t="n">
        <v>1</v>
      </c>
      <c r="C60" s="124">
        <f>A60*10+B60</f>
        <v/>
      </c>
      <c r="D60" s="121" t="n"/>
      <c r="E60" s="121" t="n"/>
      <c r="F60" s="121" t="n"/>
      <c r="G60" s="121" t="n"/>
      <c r="H60" s="121" t="n"/>
      <c r="I60" s="121" t="n"/>
      <c r="J60" s="121" t="n"/>
      <c r="K60" s="121" t="n"/>
      <c r="L60" s="121" t="n"/>
      <c r="M60" s="121" t="n"/>
      <c r="N60" s="121" t="n"/>
    </row>
    <row r="61">
      <c r="A61" s="123" t="n">
        <v>9</v>
      </c>
      <c r="B61" s="123" t="n">
        <v>2</v>
      </c>
      <c r="C61" s="124">
        <f>A61*10+B61</f>
        <v/>
      </c>
      <c r="D61" s="121" t="n"/>
      <c r="E61" s="121" t="n"/>
      <c r="F61" s="121" t="n"/>
      <c r="G61" s="121" t="n"/>
      <c r="H61" s="121" t="n"/>
      <c r="I61" s="121" t="n"/>
      <c r="J61" s="121" t="n"/>
      <c r="K61" s="121" t="n"/>
      <c r="L61" s="121" t="n"/>
      <c r="M61" s="121" t="n"/>
      <c r="N61" s="121" t="n"/>
    </row>
    <row r="62">
      <c r="A62" s="123" t="n">
        <v>9</v>
      </c>
      <c r="B62" s="123" t="n">
        <v>3</v>
      </c>
      <c r="C62" s="124">
        <f>A62*10+B62</f>
        <v/>
      </c>
      <c r="D62" s="121" t="n"/>
      <c r="E62" s="121" t="n"/>
      <c r="F62" s="121" t="n"/>
      <c r="G62" s="121" t="n"/>
      <c r="H62" s="121" t="n"/>
      <c r="I62" s="121" t="n"/>
      <c r="J62" s="121" t="n"/>
      <c r="K62" s="121" t="n"/>
      <c r="L62" s="121" t="n"/>
      <c r="M62" s="121" t="n"/>
      <c r="N62" s="121" t="n"/>
    </row>
    <row r="63">
      <c r="A63" s="123" t="n">
        <v>9</v>
      </c>
      <c r="B63" s="123" t="n">
        <v>4</v>
      </c>
      <c r="C63" s="124">
        <f>A63*10+B63</f>
        <v/>
      </c>
      <c r="D63" s="121" t="n"/>
      <c r="E63" s="121" t="n"/>
      <c r="F63" s="121" t="n"/>
      <c r="G63" s="121" t="n"/>
      <c r="H63" s="121" t="n"/>
      <c r="I63" s="121" t="n"/>
      <c r="J63" s="121" t="n"/>
      <c r="K63" s="121" t="n"/>
      <c r="L63" s="121" t="n"/>
      <c r="M63" s="121" t="n"/>
      <c r="N63" s="121" t="n"/>
    </row>
    <row r="64">
      <c r="A64" s="123" t="n">
        <v>9</v>
      </c>
      <c r="B64" s="123" t="n">
        <v>5</v>
      </c>
      <c r="C64" s="124">
        <f>A64*10+B64</f>
        <v/>
      </c>
      <c r="D64" s="121" t="n"/>
      <c r="E64" s="121" t="n"/>
      <c r="F64" s="121" t="n"/>
      <c r="G64" s="121" t="n"/>
      <c r="H64" s="121" t="n"/>
      <c r="I64" s="121" t="n"/>
      <c r="J64" s="121" t="n"/>
      <c r="K64" s="121" t="n"/>
      <c r="L64" s="121" t="n"/>
      <c r="M64" s="121" t="n"/>
      <c r="N64" s="121" t="n"/>
    </row>
    <row r="65">
      <c r="A65" s="123" t="n">
        <v>10</v>
      </c>
      <c r="B65" s="123" t="n">
        <v>1</v>
      </c>
      <c r="C65" s="124">
        <f>A65*10+B65</f>
        <v/>
      </c>
      <c r="D65" s="121" t="n"/>
      <c r="E65" s="121" t="n"/>
      <c r="F65" s="121" t="n"/>
      <c r="G65" s="121" t="n"/>
      <c r="H65" s="121" t="n"/>
      <c r="I65" s="121" t="n"/>
      <c r="J65" s="121" t="n"/>
      <c r="K65" s="121" t="n"/>
      <c r="L65" s="121" t="n"/>
      <c r="M65" s="121" t="n"/>
      <c r="N65" s="121" t="n"/>
    </row>
    <row r="66">
      <c r="A66" s="123" t="n">
        <v>10</v>
      </c>
      <c r="B66" s="123" t="n">
        <v>2</v>
      </c>
      <c r="C66" s="124">
        <f>A66*10+B66</f>
        <v/>
      </c>
      <c r="D66" s="121" t="n"/>
      <c r="E66" s="121" t="n"/>
      <c r="F66" s="121" t="n"/>
      <c r="G66" s="121" t="n"/>
      <c r="H66" s="121" t="n"/>
      <c r="I66" s="121" t="n"/>
      <c r="J66" s="121" t="n"/>
      <c r="K66" s="121" t="n"/>
      <c r="L66" s="121" t="n"/>
      <c r="M66" s="121" t="n"/>
      <c r="N66" s="121" t="n"/>
    </row>
    <row r="67">
      <c r="A67" s="123" t="n">
        <v>10</v>
      </c>
      <c r="B67" s="123" t="n">
        <v>3</v>
      </c>
      <c r="C67" s="124">
        <f>A67*10+B67</f>
        <v/>
      </c>
      <c r="D67" s="121" t="n"/>
      <c r="E67" s="121" t="n"/>
      <c r="F67" s="121" t="n"/>
      <c r="G67" s="121" t="n"/>
      <c r="H67" s="121" t="n"/>
      <c r="I67" s="121" t="n"/>
      <c r="J67" s="121" t="n"/>
      <c r="K67" s="121" t="n"/>
      <c r="L67" s="121" t="n"/>
      <c r="M67" s="121" t="n"/>
      <c r="N67" s="121" t="n"/>
    </row>
    <row r="68">
      <c r="A68" s="123" t="n">
        <v>10</v>
      </c>
      <c r="B68" s="123" t="n">
        <v>4</v>
      </c>
      <c r="C68" s="124">
        <f>A68*10+B68</f>
        <v/>
      </c>
      <c r="D68" s="121" t="n"/>
      <c r="E68" s="121" t="n"/>
      <c r="F68" s="121" t="n"/>
      <c r="G68" s="121" t="n"/>
      <c r="H68" s="121" t="n"/>
      <c r="I68" s="121" t="n"/>
      <c r="J68" s="121" t="n"/>
      <c r="K68" s="121" t="n"/>
      <c r="L68" s="121" t="n"/>
      <c r="M68" s="121" t="n"/>
      <c r="N68" s="121" t="n"/>
    </row>
    <row r="69">
      <c r="A69" s="123" t="n">
        <v>10</v>
      </c>
      <c r="B69" s="123" t="n">
        <v>5</v>
      </c>
      <c r="C69" s="124">
        <f>A69*10+B69</f>
        <v/>
      </c>
      <c r="D69" s="121" t="n"/>
      <c r="E69" s="121" t="n"/>
      <c r="F69" s="121" t="n"/>
      <c r="G69" s="121" t="n"/>
      <c r="H69" s="121" t="n"/>
      <c r="I69" s="121" t="n"/>
      <c r="J69" s="121" t="n"/>
      <c r="K69" s="121" t="n"/>
      <c r="L69" s="121" t="n"/>
      <c r="M69" s="121" t="n"/>
      <c r="N69" s="121" t="n"/>
    </row>
    <row r="70">
      <c r="A70" s="123" t="n">
        <v>11</v>
      </c>
      <c r="B70" s="123" t="n">
        <v>1</v>
      </c>
      <c r="C70" s="124">
        <f>A70*10+B70</f>
        <v/>
      </c>
      <c r="D70" s="121" t="n"/>
      <c r="E70" s="121" t="n"/>
      <c r="F70" s="121" t="n"/>
      <c r="G70" s="121" t="n"/>
      <c r="H70" s="121" t="n"/>
      <c r="I70" s="121" t="n"/>
      <c r="J70" s="121" t="n"/>
      <c r="K70" s="121" t="n"/>
      <c r="L70" s="121" t="n"/>
      <c r="M70" s="121" t="n"/>
      <c r="N70" s="121" t="n"/>
    </row>
    <row r="71">
      <c r="A71" s="123" t="n">
        <v>11</v>
      </c>
      <c r="B71" s="123" t="n">
        <v>2</v>
      </c>
      <c r="C71" s="124">
        <f>A71*10+B71</f>
        <v/>
      </c>
      <c r="D71" s="121" t="n"/>
      <c r="E71" s="121" t="n"/>
      <c r="F71" s="121" t="n"/>
      <c r="G71" s="121" t="n"/>
      <c r="H71" s="121" t="n"/>
      <c r="I71" s="121" t="n"/>
      <c r="J71" s="121" t="n"/>
      <c r="K71" s="121" t="n"/>
      <c r="L71" s="121" t="n"/>
      <c r="M71" s="121" t="n"/>
      <c r="N71" s="121" t="n"/>
    </row>
    <row r="72">
      <c r="A72" s="123" t="n">
        <v>11</v>
      </c>
      <c r="B72" s="123" t="n">
        <v>3</v>
      </c>
      <c r="C72" s="124">
        <f>A72*10+B72</f>
        <v/>
      </c>
      <c r="D72" s="121" t="n"/>
      <c r="E72" s="121" t="n"/>
      <c r="F72" s="121" t="n"/>
      <c r="G72" s="121" t="n"/>
      <c r="H72" s="121" t="n"/>
      <c r="I72" s="121" t="n"/>
      <c r="J72" s="121" t="n"/>
      <c r="K72" s="121" t="n"/>
      <c r="L72" s="121" t="n"/>
      <c r="M72" s="121" t="n"/>
      <c r="N72" s="121" t="n"/>
    </row>
    <row r="73">
      <c r="A73" s="123" t="n">
        <v>11</v>
      </c>
      <c r="B73" s="123" t="n">
        <v>4</v>
      </c>
      <c r="C73" s="124">
        <f>A73*10+B73</f>
        <v/>
      </c>
      <c r="D73" s="121" t="n"/>
      <c r="E73" s="121" t="n"/>
      <c r="F73" s="121" t="n"/>
      <c r="G73" s="121" t="n"/>
      <c r="H73" s="121" t="n"/>
      <c r="I73" s="121" t="n"/>
      <c r="J73" s="121" t="n"/>
      <c r="K73" s="121" t="n"/>
      <c r="L73" s="121" t="n"/>
      <c r="M73" s="121" t="n"/>
      <c r="N73" s="121" t="n"/>
    </row>
    <row r="74">
      <c r="A74" s="123" t="n">
        <v>11</v>
      </c>
      <c r="B74" s="123" t="n">
        <v>5</v>
      </c>
      <c r="C74" s="124">
        <f>A74*10+B74</f>
        <v/>
      </c>
      <c r="D74" s="121" t="n"/>
      <c r="E74" s="121" t="n"/>
      <c r="F74" s="121" t="n"/>
      <c r="G74" s="121" t="n"/>
      <c r="H74" s="121" t="n"/>
      <c r="I74" s="121" t="n"/>
      <c r="J74" s="121" t="n"/>
      <c r="K74" s="121" t="n"/>
      <c r="L74" s="121" t="n"/>
      <c r="M74" s="121" t="n"/>
      <c r="N74" s="121" t="n"/>
    </row>
    <row r="75">
      <c r="A75" s="123" t="n">
        <v>12</v>
      </c>
      <c r="B75" s="123" t="n">
        <v>1</v>
      </c>
      <c r="C75" s="124">
        <f>A75*10+B75</f>
        <v/>
      </c>
      <c r="D75" s="121" t="n"/>
      <c r="E75" s="121" t="n"/>
      <c r="F75" s="121" t="n"/>
      <c r="G75" s="121" t="n"/>
      <c r="H75" s="121" t="n"/>
      <c r="I75" s="121" t="n"/>
      <c r="J75" s="121" t="n"/>
      <c r="K75" s="121" t="n"/>
      <c r="L75" s="121" t="n"/>
      <c r="M75" s="121" t="n"/>
      <c r="N75" s="121" t="n"/>
    </row>
    <row r="76">
      <c r="A76" s="123" t="n">
        <v>12</v>
      </c>
      <c r="B76" s="123" t="n">
        <v>2</v>
      </c>
      <c r="C76" s="124">
        <f>A76*10+B76</f>
        <v/>
      </c>
      <c r="D76" s="121" t="n"/>
      <c r="E76" s="121" t="n"/>
      <c r="F76" s="121" t="n"/>
      <c r="G76" s="121" t="n"/>
      <c r="H76" s="121" t="n"/>
      <c r="I76" s="121" t="n"/>
      <c r="J76" s="121" t="n"/>
      <c r="K76" s="121" t="n"/>
      <c r="L76" s="121" t="n"/>
      <c r="M76" s="121" t="n"/>
      <c r="N76" s="121" t="n"/>
    </row>
    <row r="77">
      <c r="A77" s="123" t="n">
        <v>12</v>
      </c>
      <c r="B77" s="123" t="n">
        <v>3</v>
      </c>
      <c r="C77" s="124">
        <f>A77*10+B77</f>
        <v/>
      </c>
      <c r="D77" s="121" t="n"/>
      <c r="E77" s="121" t="n"/>
      <c r="F77" s="121" t="n"/>
      <c r="G77" s="121" t="n"/>
      <c r="H77" s="121" t="n"/>
      <c r="I77" s="121" t="n"/>
      <c r="J77" s="121" t="n"/>
      <c r="K77" s="121" t="n"/>
      <c r="L77" s="121" t="n"/>
      <c r="M77" s="121" t="n"/>
      <c r="N77" s="121" t="n"/>
    </row>
    <row r="78">
      <c r="A78" s="123" t="n">
        <v>12</v>
      </c>
      <c r="B78" s="123" t="n">
        <v>4</v>
      </c>
      <c r="C78" s="124">
        <f>A78*10+B78</f>
        <v/>
      </c>
      <c r="D78" s="121" t="n"/>
      <c r="E78" s="121" t="n"/>
      <c r="F78" s="121" t="n"/>
      <c r="G78" s="121" t="n"/>
      <c r="H78" s="121" t="n"/>
      <c r="I78" s="121" t="n"/>
      <c r="J78" s="121" t="n"/>
      <c r="K78" s="121" t="n"/>
      <c r="L78" s="121" t="n"/>
      <c r="M78" s="121" t="n"/>
      <c r="N78" s="121" t="n"/>
    </row>
    <row r="79">
      <c r="A79" s="123" t="n">
        <v>12</v>
      </c>
      <c r="B79" s="123" t="n">
        <v>5</v>
      </c>
      <c r="C79" s="124">
        <f>A79*10+B79</f>
        <v/>
      </c>
      <c r="D79" s="121" t="n"/>
      <c r="E79" s="121" t="n"/>
      <c r="F79" s="121" t="n"/>
      <c r="G79" s="121" t="n"/>
      <c r="H79" s="121" t="n"/>
      <c r="I79" s="121" t="n"/>
      <c r="J79" s="121" t="n"/>
      <c r="K79" s="121" t="n"/>
      <c r="L79" s="121" t="n"/>
      <c r="M79" s="121" t="n"/>
      <c r="N79" s="121" t="n"/>
    </row>
  </sheetData>
  <mergeCells count="3">
    <mergeCell ref="A18:N18"/>
    <mergeCell ref="A3:N3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2026-09-17T02:25:42Z</dcterms:created>
  <dcterms:modified xsi:type="dcterms:W3CDTF">2026-09-17T02:25:42Z</dcterms:modified>
</cp:coreProperties>
</file>