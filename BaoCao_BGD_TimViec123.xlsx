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2" autoFilterDateGrouping="1"/>
  </bookViews>
  <sheets>
    <sheet name="z_Config" sheetId="1" state="hidden" r:id="rId1"/>
    <sheet name="z_Trang" sheetId="2" state="hidden" r:id="rId2"/>
    <sheet name="z_TinhNang" sheetId="3" state="hidden" r:id="rId3"/>
    <sheet name="z_TrangFull" sheetId="4" state="hidden" r:id="rId4"/>
    <sheet name="z_TNFull" sheetId="5" state="hidden" r:id="rId5"/>
    <sheet name="z_Loi" sheetId="6" state="hidden" r:id="rId6"/>
    <sheet name="z_CV" sheetId="7" state="hidden" r:id="rId7"/>
    <sheet name="z_DB_DN" sheetId="8" state="hidden" r:id="rId8"/>
    <sheet name="z_DB_HR" sheetId="9" state="hidden" r:id="rId9"/>
    <sheet name="z_DB_UV" sheetId="10" state="hidden" r:id="rId10"/>
    <sheet name="z_DB_Tin" sheetId="11" state="hidden" r:id="rId11"/>
    <sheet name="00_Hướng_dẫn" sheetId="12" state="visible" r:id="rId12"/>
    <sheet name="01_Báo_cáo_Tháng" sheetId="13" state="visible" r:id="rId13"/>
    <sheet name="02_Báo_cáo_Tuần" sheetId="14" state="visible" r:id="rId14"/>
    <sheet name="03_Nghiệm_thu" sheetId="15" state="visible" r:id="rId15"/>
    <sheet name="04_Mục_tiêu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36">
    <font>
      <name val="Calibri"/>
      <family val="2"/>
      <color theme="1"/>
      <sz val="11"/>
      <scheme val="minor"/>
    </font>
    <font>
      <name val="Arial"/>
      <b val="1"/>
      <color rgb="001A1A1A"/>
      <sz val="11"/>
    </font>
    <font>
      <name val="Arial"/>
      <b val="1"/>
      <color rgb="00FFFFFF"/>
      <sz val="15"/>
    </font>
    <font>
      <name val="Arial"/>
      <i val="1"/>
      <color rgb="006B7280"/>
      <sz val="10.5"/>
    </font>
    <font>
      <name val="Arial"/>
      <b val="1"/>
      <color rgb="00FFFFFF"/>
      <sz val="11"/>
    </font>
    <font>
      <name val="Arial"/>
      <color rgb="001A1A1A"/>
      <sz val="10.5"/>
    </font>
    <font>
      <name val="Arial"/>
      <b val="1"/>
      <color rgb="00FFFFFF"/>
      <sz val="11.5"/>
    </font>
    <font>
      <name val="Arial"/>
      <b val="1"/>
      <color rgb="002E5A88"/>
      <sz val="11"/>
    </font>
    <font>
      <name val="Arial"/>
      <b val="1"/>
      <color rgb="00C62828"/>
      <sz val="11"/>
    </font>
    <font>
      <name val="Arial"/>
      <i val="1"/>
      <color rgb="006B7280"/>
      <sz val="9.5"/>
    </font>
    <font>
      <name val="Arial"/>
      <b val="1"/>
      <color rgb="002E7D32"/>
      <sz val="10.5"/>
    </font>
    <font>
      <name val="Arial"/>
      <color rgb="001155CC"/>
      <sz val="10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b val="1"/>
      <color rgb="00FFFFFF"/>
      <sz val="10.5"/>
    </font>
    <font>
      <name val="Arial"/>
      <b val="1"/>
      <color rgb="001F3A5F"/>
      <sz val="11"/>
    </font>
    <font>
      <name val="Arial"/>
      <b val="1"/>
      <color rgb="001F3A5F"/>
      <sz val="10.5"/>
    </font>
    <font>
      <name val="Arial"/>
      <b val="1"/>
      <color rgb="001A1A1A"/>
      <sz val="10.5"/>
    </font>
    <font>
      <name val="Arial"/>
      <color rgb="006B7280"/>
      <sz val="9.5"/>
    </font>
    <font>
      <name val="Arial"/>
      <b val="1"/>
      <color rgb="002E7D32"/>
      <sz val="12"/>
    </font>
    <font>
      <name val="Arial"/>
      <color rgb="002E7D32"/>
      <sz val="10.5"/>
    </font>
    <font>
      <name val="Arial"/>
      <b val="1"/>
      <color rgb="002E7D32"/>
      <sz val="11"/>
    </font>
    <font>
      <name val="Arial"/>
      <b val="1"/>
      <color rgb="00C62828"/>
      <sz val="10.5"/>
    </font>
    <font>
      <name val="Arial"/>
      <b val="1"/>
      <color rgb="00C62828"/>
      <sz val="12"/>
    </font>
    <font>
      <name val="Arial"/>
      <color rgb="00C62828"/>
      <sz val="10.5"/>
    </font>
    <font>
      <name val="Arial"/>
      <b val="1"/>
      <color rgb="00B8860B"/>
      <sz val="10.5"/>
    </font>
    <font>
      <name val="Arial"/>
      <b val="1"/>
      <color rgb="006B7280"/>
      <sz val="10.5"/>
    </font>
    <font>
      <name val="Arial"/>
      <color rgb="001A1A1A"/>
      <sz val="10"/>
    </font>
    <font>
      <name val="Arial"/>
      <b val="1"/>
      <color rgb="002E7D32"/>
      <sz val="10"/>
    </font>
    <font>
      <name val="Arial"/>
      <b val="1"/>
      <color rgb="00FFFFFF"/>
      <sz val="9.5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b val="1"/>
      <color rgb="00C62828"/>
      <sz val="10"/>
    </font>
    <font>
      <name val="Arial"/>
      <color rgb="001155CC"/>
      <sz val="9.5"/>
    </font>
    <font>
      <name val="Arial"/>
      <b val="1"/>
      <color rgb="00FFFFFF"/>
      <sz val="9"/>
    </font>
    <font>
      <name val="Arial"/>
      <color rgb="006B7280"/>
      <sz val="9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FF"/>
      </patternFill>
    </fill>
    <fill>
      <patternFill patternType="solid">
        <fgColor rgb="002E5A88"/>
      </patternFill>
    </fill>
    <fill>
      <patternFill patternType="solid">
        <fgColor rgb="00DCE6F1"/>
      </patternFill>
    </fill>
    <fill>
      <patternFill patternType="solid">
        <fgColor rgb="00F5F7FA"/>
      </patternFill>
    </fill>
    <fill>
      <patternFill patternType="solid">
        <fgColor rgb="00FFF3CD"/>
      </patternFill>
    </fill>
    <fill>
      <patternFill patternType="solid">
        <fgColor rgb="00FFF9DB"/>
      </patternFill>
    </fill>
    <fill>
      <patternFill patternType="solid">
        <fgColor rgb="00D9F0DD"/>
      </patternFill>
    </fill>
    <fill>
      <patternFill patternType="solid">
        <fgColor rgb="00FBE3E3"/>
      </patternFill>
    </fill>
    <fill>
      <patternFill patternType="solid">
        <fgColor rgb="006B7280"/>
      </patternFill>
    </fill>
  </fills>
  <borders count="6">
    <border>
      <left/>
      <right/>
      <top/>
      <bottom/>
      <diagonal/>
    </border>
    <border>
      <left style="thin">
        <color rgb="00C9D6E5"/>
      </left>
      <right style="thin">
        <color rgb="00C9D6E5"/>
      </right>
      <top style="thin">
        <color rgb="00C9D6E5"/>
      </top>
      <bottom style="thin">
        <color rgb="00C9D6E5"/>
      </bottom>
    </border>
    <border>
      <left/>
      <right/>
      <top style="thin">
        <color rgb="00C9D6E5"/>
      </top>
      <bottom/>
      <diagonal/>
    </border>
    <border>
      <left/>
      <right style="thin">
        <color rgb="00C9D6E5"/>
      </right>
      <top style="thin">
        <color rgb="00C9D6E5"/>
      </top>
      <bottom/>
      <diagonal/>
    </border>
    <border>
      <left/>
      <right/>
      <top style="thin">
        <color rgb="00C9D6E5"/>
      </top>
      <bottom style="thin">
        <color rgb="00C9D6E5"/>
      </bottom>
      <diagonal/>
    </border>
    <border>
      <left/>
      <right style="thin">
        <color rgb="00C9D6E5"/>
      </right>
      <top style="thin">
        <color rgb="00C9D6E5"/>
      </top>
      <bottom style="thin">
        <color rgb="00C9D6E5"/>
      </bottom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7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9" fillId="3" borderId="0" applyAlignment="1" pivotButton="0" quotePrefix="0" xfId="0">
      <alignment horizontal="left" vertical="center" wrapText="1"/>
    </xf>
    <xf numFmtId="0" fontId="1" fillId="5" borderId="1" pivotButton="0" quotePrefix="0" xfId="0"/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164" fontId="1" fillId="8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3" borderId="1" applyAlignment="1" pivotButton="0" quotePrefix="0" xfId="0">
      <alignment horizontal="left" vertical="center" wrapText="1"/>
    </xf>
    <xf numFmtId="3" fontId="16" fillId="3" borderId="1" applyAlignment="1" pivotButton="0" quotePrefix="0" xfId="0">
      <alignment horizontal="center" vertical="center"/>
    </xf>
    <xf numFmtId="3" fontId="1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3" fontId="16" fillId="6" borderId="1" applyAlignment="1" pivotButton="0" quotePrefix="0" xfId="0">
      <alignment horizontal="center" vertical="center"/>
    </xf>
    <xf numFmtId="3" fontId="1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left" vertical="center"/>
    </xf>
    <xf numFmtId="3" fontId="19" fillId="9" borderId="1" applyAlignment="1" pivotButton="0" quotePrefix="0" xfId="0">
      <alignment horizontal="center" vertical="center"/>
    </xf>
    <xf numFmtId="3" fontId="20" fillId="9" borderId="1" applyAlignment="1" pivotButton="0" quotePrefix="0" xfId="0">
      <alignment horizontal="center" vertical="center"/>
    </xf>
    <xf numFmtId="165" fontId="21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165" fontId="17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165" fontId="17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left" vertical="center"/>
    </xf>
    <xf numFmtId="3" fontId="23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22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5" fillId="6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0" fillId="3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left" vertical="center"/>
    </xf>
    <xf numFmtId="0" fontId="2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27" fillId="3" borderId="1" applyAlignment="1" pivotButton="0" quotePrefix="0" xfId="0">
      <alignment horizontal="left" vertical="center"/>
    </xf>
    <xf numFmtId="3" fontId="0" fillId="0" borderId="1" pivotButton="0" quotePrefix="0" xfId="0"/>
    <xf numFmtId="0" fontId="17" fillId="5" borderId="1" applyAlignment="1" pivotButton="0" quotePrefix="0" xfId="0">
      <alignment horizontal="center" vertical="center"/>
    </xf>
    <xf numFmtId="164" fontId="17" fillId="3" borderId="1" applyAlignment="1" pivotButton="0" quotePrefix="0" xfId="0">
      <alignment horizontal="center" vertical="center"/>
    </xf>
    <xf numFmtId="164" fontId="17" fillId="3" borderId="0" applyAlignment="1" pivotButton="0" quotePrefix="0" xfId="0">
      <alignment horizontal="center" vertical="center"/>
    </xf>
    <xf numFmtId="0" fontId="28" fillId="3" borderId="1" applyAlignment="1" pivotButton="0" quotePrefix="0" xfId="0">
      <alignment horizontal="center" vertical="center"/>
    </xf>
    <xf numFmtId="164" fontId="0" fillId="0" borderId="1" pivotButton="0" quotePrefix="0" xfId="0"/>
    <xf numFmtId="0" fontId="17" fillId="8" borderId="1" applyAlignment="1" pivotButton="0" quotePrefix="0" xfId="0">
      <alignment horizontal="center" vertical="center"/>
    </xf>
    <xf numFmtId="164" fontId="1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9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10" fillId="3" borderId="1" applyAlignment="1" pivotButton="0" quotePrefix="0" xfId="0">
      <alignment horizontal="center" vertical="center"/>
    </xf>
    <xf numFmtId="3" fontId="22" fillId="3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center" vertical="center"/>
    </xf>
    <xf numFmtId="3" fontId="22" fillId="6" borderId="1" applyAlignment="1" pivotButton="0" quotePrefix="0" xfId="0">
      <alignment horizontal="center" vertical="center"/>
    </xf>
    <xf numFmtId="3" fontId="17" fillId="5" borderId="1" applyAlignment="1" pivotButton="0" quotePrefix="0" xfId="0">
      <alignment horizontal="center" vertical="center"/>
    </xf>
    <xf numFmtId="165" fontId="17" fillId="5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27" fillId="3" borderId="1" applyAlignment="1" pivotButton="0" quotePrefix="0" xfId="0">
      <alignment horizontal="left" vertical="center" wrapText="1"/>
    </xf>
    <xf numFmtId="3" fontId="17" fillId="3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left" vertical="center" wrapText="1"/>
    </xf>
    <xf numFmtId="3" fontId="17" fillId="6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bottom"/>
    </xf>
    <xf numFmtId="0" fontId="5" fillId="8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/>
    </xf>
    <xf numFmtId="165" fontId="17" fillId="0" borderId="1" applyAlignment="1" pivotButton="0" quotePrefix="0" xfId="0">
      <alignment horizontal="center" vertical="center"/>
    </xf>
    <xf numFmtId="3" fontId="22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31" fillId="8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left" vertical="center" wrapText="1"/>
    </xf>
    <xf numFmtId="0" fontId="27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8" borderId="1" applyAlignment="1" pivotButton="0" quotePrefix="0" xfId="0">
      <alignment horizontal="left" vertical="center" wrapText="1"/>
    </xf>
    <xf numFmtId="0" fontId="27" fillId="8" borderId="1" applyAlignment="1" pivotButton="0" quotePrefix="0" xfId="0">
      <alignment horizontal="left" vertical="center"/>
    </xf>
    <xf numFmtId="164" fontId="27" fillId="8" borderId="1" applyAlignment="1" pivotButton="0" quotePrefix="0" xfId="0">
      <alignment horizontal="center" vertical="center"/>
    </xf>
    <xf numFmtId="0" fontId="30" fillId="2" borderId="1" applyAlignment="1" pivotButton="0" quotePrefix="0" xfId="0">
      <alignment horizontal="center" vertical="center"/>
    </xf>
    <xf numFmtId="0" fontId="34" fillId="2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/>
    </xf>
    <xf numFmtId="3" fontId="27" fillId="8" borderId="1" applyAlignment="1" pivotButton="0" quotePrefix="0" xfId="0">
      <alignment horizontal="center" vertical="center"/>
    </xf>
    <xf numFmtId="0" fontId="34" fillId="11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35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D9F0DD"/>
        </patternFill>
      </fill>
    </dxf>
    <dxf>
      <font>
        <b val="1"/>
        <color rgb="00C62828"/>
      </font>
      <fill>
        <patternFill patternType="solid">
          <fgColor rgb="00FBE3E3"/>
        </patternFill>
      </fill>
    </dxf>
    <dxf>
      <font>
        <b val="1"/>
        <color rgb="00B8860B"/>
      </font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URL file làm việc</t>
        </is>
      </c>
      <c r="B1" t="inlineStr">
        <is>
          <t>https://docs.google.com/spreadsheets/d/1J2A_OiWz7IeYsgafLDY3mIfZsG-xCNGhkNaSQkhicHg/edit</t>
        </is>
      </c>
    </row>
    <row r="2">
      <c r="A2" s="1" t="inlineStr">
        <is>
          <t>Năm</t>
        </is>
      </c>
      <c r="B2" t="n">
        <v>2026</v>
      </c>
    </row>
    <row r="3">
      <c r="A3" s="1" t="inlineStr">
        <is>
          <t>URL file Database</t>
        </is>
      </c>
      <c r="B3" t="inlineStr">
        <is>
          <t>https://docs.google.com/spreadsheets/d/1i7-xLYiLHg60EqmCpfeA9B4Y0T-8YsgXk-_0qJ4eACo/edit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IMPORTRANGE('z_Config'!$B$1,"02_UI_UX!A3:N3")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IMPORTRANGE('z_Config'!$B$1,"03_Tính_năng!A3:N3")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IMPORTRANGE('z_Config'!$B$1,"02_UI_UX!A4:R68")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IMPORTRANGE('z_Config'!$B$1,"03_Tính_năng!A4:T92")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IMPORTRANGE('z_Config'!$B$1,"05_Lỗi_Tester!A4:V606")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IMPORTRANGE('z_Config'!$B$1,"01_Cong_viec_ngay!A4:P1004")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IMPORTRANGE('z_Config'!$B$3,"'HS DN'!D4:N970")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IMPORTRANGE('z_Config'!$B$3,"'HS HR'!D4:E966")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IMPORTRANGE('z_Config'!$B$3,"'HS ỨNG TUYỂN'!D5:D990")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IMPORTRANGE('z_Config'!$B$3,"'Tin tuyển dụng'!C4:D1006")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A5F"/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8" customWidth="1" min="3" max="3"/>
    <col width="20" customWidth="1" min="4" max="4"/>
    <col width="20" customWidth="1" min="5" max="5"/>
    <col width="16" customWidth="1" min="6" max="6"/>
  </cols>
  <sheetData>
    <row r="1" ht="30" customHeight="1">
      <c r="A1" s="2" t="inlineStr">
        <is>
          <t>BÁO CÁO TIẾN ĐỘ WEBSITE TIMVIEC123 — DÀNH CHO BAN GIÁM ĐỐC</t>
        </is>
      </c>
      <c r="B1" s="3" t="n"/>
      <c r="C1" s="3" t="n"/>
      <c r="D1" s="3" t="n"/>
      <c r="E1" s="3" t="n"/>
      <c r="F1" s="3" t="n"/>
    </row>
    <row r="2" ht="20" customHeight="1">
      <c r="A2" s="4" t="inlineStr">
        <is>
          <t>Số liệu đồng bộ live từ file làm việc QA và file Database. BGD chỉ xem, chọn kỳ ở sheet Tháng/Tuần.</t>
        </is>
      </c>
      <c r="B2" s="5" t="n"/>
      <c r="C2" s="5" t="n"/>
      <c r="D2" s="5" t="n"/>
      <c r="E2" s="5" t="n"/>
      <c r="F2" s="5" t="n"/>
    </row>
    <row r="4">
      <c r="A4" s="6" t="inlineStr">
        <is>
          <t>NGƯỜI DÙNG</t>
        </is>
      </c>
      <c r="B4" s="7" t="n"/>
      <c r="C4" s="6" t="inlineStr">
        <is>
          <t>CÁCH SỬ DỤNG</t>
        </is>
      </c>
      <c r="D4" s="7" t="n"/>
      <c r="E4" s="7" t="n"/>
      <c r="F4" s="7" t="n"/>
    </row>
    <row r="5" ht="30" customHeight="1">
      <c r="A5" s="8" t="inlineStr">
        <is>
          <t>Ban Giám đốc</t>
        </is>
      </c>
      <c r="B5" s="9" t="n"/>
      <c r="C5" s="10" t="inlineStr">
        <is>
          <t>Xem tiến độ trang/tính năng, tình trạng lỗi, database và nghiệm thu. Chọn Tháng/Tuần để lọc kỳ.</t>
        </is>
      </c>
    </row>
    <row r="6" ht="30" customHeight="1">
      <c r="A6" s="8" t="inlineStr">
        <is>
          <t>Tester</t>
        </is>
      </c>
      <c r="B6" s="9" t="n"/>
      <c r="C6" s="10" t="inlineStr">
        <is>
          <t>Cập nhật dữ liệu tại file làm việc; nhập Mục tiêu tại sheet 04_Mục_tiêu.</t>
        </is>
      </c>
    </row>
    <row r="7" ht="30" customHeight="1">
      <c r="A7" s="8" t="inlineStr">
        <is>
          <t>Dev</t>
        </is>
      </c>
      <c r="B7" s="9" t="n"/>
      <c r="C7" s="10" t="inlineStr">
        <is>
          <t>Cập nhật xử lý lỗi tại 06_RTM_Dev_Test của file làm việc.</t>
        </is>
      </c>
    </row>
    <row r="9" ht="22" customHeight="1">
      <c r="A9" s="11" t="inlineStr">
        <is>
          <t>NGUYÊN TẮC TÍNH SỐ</t>
        </is>
      </c>
      <c r="B9" s="7" t="n"/>
      <c r="C9" s="7" t="n"/>
      <c r="D9" s="7" t="n"/>
      <c r="E9" s="7" t="n"/>
      <c r="F9" s="7" t="n"/>
    </row>
    <row r="10" ht="26" customHeight="1">
      <c r="A10" s="12" t="n">
        <v>1</v>
      </c>
      <c r="B10" s="13" t="inlineStr">
        <is>
          <t>Tiến độ trang = số trang Hoàn thành / tổng số trang (hiện 63). Tính năng / 88.</t>
        </is>
      </c>
      <c r="C10" s="14" t="n"/>
      <c r="D10" s="14" t="n"/>
      <c r="E10" s="14" t="n"/>
      <c r="F10" s="14" t="n"/>
    </row>
    <row r="11" ht="26" customHeight="1">
      <c r="A11" s="12" t="n">
        <v>2</v>
      </c>
      <c r="B11" s="13" t="inlineStr">
        <is>
          <t>Số lỗi lấy toàn bộ từ 05_Lỗi_Tester. "Đang mở" = Open + Chưa gửi Dev; "Đã xử lý" = Fixed + Verified + Closed.</t>
        </is>
      </c>
      <c r="C11" s="14" t="n"/>
      <c r="D11" s="14" t="n"/>
      <c r="E11" s="14" t="n"/>
      <c r="F11" s="14" t="n"/>
    </row>
    <row r="12" ht="26" customHeight="1">
      <c r="A12" s="12" t="n">
        <v>3</v>
      </c>
      <c r="B12" s="13" t="inlineStr">
        <is>
          <t>Mục tiêu nhập tại sheet 04_Mục_tiêu theo từng tháng/tuần (không cố định, không dùng chung).</t>
        </is>
      </c>
      <c r="C12" s="14" t="n"/>
      <c r="D12" s="14" t="n"/>
      <c r="E12" s="14" t="n"/>
      <c r="F12" s="14" t="n"/>
    </row>
    <row r="13" ht="26" customHeight="1">
      <c r="A13" s="12" t="n">
        <v>4</v>
      </c>
      <c r="B13" s="13" t="inlineStr">
        <is>
          <t>Chi tiết theo Trang/Tính năng = mục có Ngày test gần nhất trong kỳ, trạng thái Hoàn thành/Kiểm tra lại.</t>
        </is>
      </c>
      <c r="C13" s="14" t="n"/>
      <c r="D13" s="14" t="n"/>
      <c r="E13" s="14" t="n"/>
      <c r="F13" s="14" t="n"/>
    </row>
    <row r="14" ht="26" customHeight="1">
      <c r="A14" s="12" t="n">
        <v>5</v>
      </c>
      <c r="B14" s="13" t="inlineStr">
        <is>
          <t>Chỉ số Database lấy từ file Hồ sơ, đếm theo ngày đăng/tạo của kỳ.</t>
        </is>
      </c>
      <c r="C14" s="14" t="n"/>
      <c r="D14" s="14" t="n"/>
      <c r="E14" s="14" t="n"/>
      <c r="F14" s="14" t="n"/>
    </row>
    <row r="15" ht="26" customHeight="1">
      <c r="A15" s="12" t="n">
        <v>6</v>
      </c>
      <c r="B15" s="13" t="inlineStr">
        <is>
          <t>Nghiệm thu theo người dùng: hành trình ĐẠT khi mọi bước Pass và không có lỗi Critical/High đang mở; vai trò ĐẠT khi mọi hành trình ĐẠT.</t>
        </is>
      </c>
      <c r="C15" s="14" t="n"/>
      <c r="D15" s="14" t="n"/>
      <c r="E15" s="14" t="n"/>
      <c r="F15" s="14" t="n"/>
    </row>
    <row r="17" ht="22" customHeight="1">
      <c r="A17" s="11" t="inlineStr">
        <is>
          <t>KÍCH HOẠT KẾT NỐI (làm 1 lần)</t>
        </is>
      </c>
      <c r="B17" s="7" t="n"/>
      <c r="C17" s="7" t="n"/>
      <c r="D17" s="7" t="n"/>
      <c r="E17" s="7" t="n"/>
      <c r="F17" s="7" t="n"/>
    </row>
    <row r="18">
      <c r="A18" s="15" t="inlineStr">
        <is>
          <t>① File làm việc QA</t>
        </is>
      </c>
      <c r="B18" s="16">
        <f>IMPORTRANGE('z_Config'!$B$1,"05_Lỗi_Tester!E4")</f>
        <v/>
      </c>
      <c r="C18" s="17" t="n"/>
      <c r="D18" s="17" t="n"/>
      <c r="E18" s="17" t="n"/>
      <c r="F18" s="17" t="n"/>
    </row>
    <row r="19">
      <c r="A19" s="15" t="inlineStr">
        <is>
          <t>② File Database</t>
        </is>
      </c>
      <c r="B19" s="16">
        <f>IMPORTRANGE('z_Config'!$B$3,"'HS DN'!D3")</f>
        <v/>
      </c>
      <c r="C19" s="17" t="n"/>
      <c r="D19" s="17" t="n"/>
      <c r="E19" s="17" t="n"/>
      <c r="F19" s="17" t="n"/>
    </row>
    <row r="20" ht="28" customHeight="1">
      <c r="A20" s="18" t="inlineStr">
        <is>
          <t>→ Nếu ô ① hoặc ② báo #REF!: bấm vào ô đó → "Cho phép truy cập / Allow access". Làm 1 lần cho mỗi ô.</t>
        </is>
      </c>
      <c r="B20" s="5" t="n"/>
      <c r="C20" s="5" t="n"/>
      <c r="D20" s="5" t="n"/>
      <c r="E20" s="5" t="n"/>
      <c r="F20" s="5" t="n"/>
    </row>
    <row r="21">
      <c r="A21" s="19" t="inlineStr">
        <is>
          <t>Trạng thái kết nối</t>
        </is>
      </c>
      <c r="B21" s="20">
        <f>IF(ISERROR('z_Trang'!$B$1),"⚠ Chưa kết nối file làm việc","✔ Đã kết nối")&amp;"   |   "&amp;IF(ISERROR('z_DB_DN'!$A:$A),"⚠ Chưa kết nối Database","✔ Database OK")</f>
        <v/>
      </c>
      <c r="C21" s="14" t="n"/>
      <c r="D21" s="14" t="n"/>
      <c r="E21" s="14" t="n"/>
      <c r="F21" s="14" t="n"/>
    </row>
    <row r="23" ht="22" customHeight="1">
      <c r="A23" s="11" t="inlineStr">
        <is>
          <t>LIÊN KẾT</t>
        </is>
      </c>
      <c r="B23" s="7" t="n"/>
      <c r="C23" s="7" t="n"/>
      <c r="D23" s="7" t="n"/>
      <c r="E23" s="7" t="n"/>
      <c r="F23" s="7" t="n"/>
    </row>
    <row r="24">
      <c r="A24" s="19" t="inlineStr">
        <is>
          <t>File làm việc (QA)</t>
        </is>
      </c>
      <c r="B24" s="21" t="inlineStr">
        <is>
          <t>https://docs.google.com/spreadsheets/d/1J2A_OiWz7IeYsgafLDY3mIfZsG-xCNGhkNaSQkhicHg/edit</t>
        </is>
      </c>
      <c r="C24" s="14" t="n"/>
      <c r="D24" s="14" t="n"/>
      <c r="E24" s="14" t="n"/>
      <c r="F24" s="14" t="n"/>
    </row>
    <row r="25">
      <c r="A25" s="19" t="inlineStr">
        <is>
          <t>File Database (Hồ sơ)</t>
        </is>
      </c>
      <c r="B25" s="21" t="inlineStr">
        <is>
          <t>https://docs.google.com/spreadsheets/d/1i7-xLYiLHg60EqmCpfeA9B4Y0T-8YsgXk-_0qJ4eACo/edit</t>
        </is>
      </c>
      <c r="C25" s="14" t="n"/>
      <c r="D25" s="14" t="n"/>
      <c r="E25" s="14" t="n"/>
      <c r="F25" s="14" t="n"/>
    </row>
  </sheetData>
  <mergeCells count="25">
    <mergeCell ref="B25:F25"/>
    <mergeCell ref="C7:F7"/>
    <mergeCell ref="B18:F18"/>
    <mergeCell ref="A6:B6"/>
    <mergeCell ref="B21:F21"/>
    <mergeCell ref="A2:F2"/>
    <mergeCell ref="B12:F12"/>
    <mergeCell ref="A7:B7"/>
    <mergeCell ref="B11:F11"/>
    <mergeCell ref="A23:F23"/>
    <mergeCell ref="C6:F6"/>
    <mergeCell ref="A17:F17"/>
    <mergeCell ref="B14:F14"/>
    <mergeCell ref="A20:F20"/>
    <mergeCell ref="C5:F5"/>
    <mergeCell ref="B13:F13"/>
    <mergeCell ref="C4:F4"/>
    <mergeCell ref="B10:F10"/>
    <mergeCell ref="A9:F9"/>
    <mergeCell ref="A5:B5"/>
    <mergeCell ref="B19:F19"/>
    <mergeCell ref="A4:B4"/>
    <mergeCell ref="B24:F24"/>
    <mergeCell ref="B15:F15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5A88"/>
    <outlinePr summaryBelow="1" summaryRight="1"/>
    <pageSetUpPr/>
  </sheetPr>
  <dimension ref="A1:O1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1" customWidth="1" min="4" max="4"/>
    <col width="11" customWidth="1" min="5" max="5"/>
    <col width="28" customWidth="1" min="6" max="6"/>
    <col width="12" customWidth="1" min="7" max="7"/>
    <col width="15" customWidth="1" min="8" max="8"/>
    <col hidden="1" width="13" customWidth="1" min="14" max="14"/>
    <col hidden="1" width="13" customWidth="1" min="15" max="15"/>
  </cols>
  <sheetData>
    <row r="1" ht="30" customHeight="1">
      <c r="A1" s="2" t="inlineStr">
        <is>
          <t>BÁO CÁO TIẾN ĐỘ THEO THÁNG</t>
        </is>
      </c>
      <c r="B1" s="3" t="n"/>
      <c r="C1" s="3" t="n"/>
      <c r="D1" s="3" t="n"/>
      <c r="E1" s="3" t="n"/>
      <c r="F1" s="3" t="n"/>
    </row>
    <row r="2">
      <c r="A2" s="22" t="inlineStr">
        <is>
          <t>Chỉ số "trong tháng" lọc theo kỳ đã chọn; số Tổng quan là thời điểm hiện tại. Mục tiêu nhập tại sheet 04_Mục_tiêu (mỗi kỳ một dòng).</t>
        </is>
      </c>
      <c r="B2" s="5" t="n"/>
      <c r="C2" s="5" t="n"/>
      <c r="D2" s="5" t="n"/>
      <c r="E2" s="5" t="n"/>
      <c r="F2" s="5" t="n"/>
    </row>
    <row r="4">
      <c r="A4" s="23" t="inlineStr">
        <is>
          <t>Tháng báo cáo</t>
        </is>
      </c>
      <c r="B4" s="24" t="n">
        <v>8</v>
      </c>
      <c r="C4" s="23" t="inlineStr">
        <is>
          <t>Năm</t>
        </is>
      </c>
      <c r="D4" s="24" t="n">
        <v>2026</v>
      </c>
      <c r="E4" s="23" t="inlineStr">
        <is>
          <t>Ngày chốt</t>
        </is>
      </c>
      <c r="F4" s="25">
        <f>TODAY()</f>
        <v/>
      </c>
      <c r="N4">
        <f>DATE(D4,B4,1)</f>
        <v/>
      </c>
      <c r="O4">
        <f>EOMONTH(N4,0)</f>
        <v/>
      </c>
    </row>
    <row r="6" ht="22" customHeight="1">
      <c r="A6" s="26" t="inlineStr">
        <is>
          <t>KPI / CHỈ SỐ</t>
        </is>
      </c>
      <c r="B6" s="27" t="inlineStr">
        <is>
          <t>Mục tiêu kỳ</t>
        </is>
      </c>
      <c r="C6" s="27" t="inlineStr">
        <is>
          <t>Kết quả</t>
        </is>
      </c>
      <c r="D6" s="27" t="inlineStr">
        <is>
          <t>Tỷ lệ đạt</t>
        </is>
      </c>
      <c r="E6" s="27" t="inlineStr">
        <is>
          <t>Đạt KPI?</t>
        </is>
      </c>
      <c r="F6" s="27" t="inlineStr">
        <is>
          <t>Ghi chú</t>
        </is>
      </c>
    </row>
    <row r="7" ht="19" customHeight="1">
      <c r="A7" s="28" t="inlineStr">
        <is>
          <t>I. KIỂM TRA WEBSITE</t>
        </is>
      </c>
      <c r="B7" s="29" t="n"/>
      <c r="C7" s="29" t="n"/>
      <c r="D7" s="29" t="n"/>
      <c r="E7" s="29" t="n"/>
      <c r="F7" s="29" t="n"/>
    </row>
    <row r="8">
      <c r="A8" s="30" t="inlineStr">
        <is>
          <t>1. Trang hoàn thành</t>
        </is>
      </c>
      <c r="B8" s="31">
        <f>IFERROR(INDEX('04_Mục_tiêu'!$B$5:$L$16,MATCH($B$4,'04_Mục_tiêu'!$A$5:$A$16,0),1),"")</f>
        <v/>
      </c>
      <c r="C8" s="32">
        <f>'z_Trang'!$D$1</f>
        <v/>
      </c>
      <c r="D8" s="33">
        <f>IFERROR(C8/B8,"")</f>
        <v/>
      </c>
      <c r="E8" s="34">
        <f>IF(ISNUMBER(B8),IF(C8&gt;=B8,"Đạt","Chưa đạt"),"Theo dõi")</f>
        <v/>
      </c>
      <c r="F8" s="35" t="inlineStr">
        <is>
          <t>Hoàn thành / tổng số trang</t>
        </is>
      </c>
    </row>
    <row r="9">
      <c r="A9" s="36" t="inlineStr">
        <is>
          <t>2. Tính năng hoàn thành</t>
        </is>
      </c>
      <c r="B9" s="37">
        <f>IFERROR(INDEX('04_Mục_tiêu'!$B$5:$L$16,MATCH($B$4,'04_Mục_tiêu'!$A$5:$A$16,0),2),"")</f>
        <v/>
      </c>
      <c r="C9" s="38">
        <f>'z_TinhNang'!$D$1</f>
        <v/>
      </c>
      <c r="D9" s="39">
        <f>IFERROR(C9/B9,"")</f>
        <v/>
      </c>
      <c r="E9" s="40">
        <f>IF(ISNUMBER(B9),IF(C9&gt;=B9,"Đạt","Chưa đạt"),"Theo dõi")</f>
        <v/>
      </c>
      <c r="F9" s="41" t="inlineStr">
        <is>
          <t>Hoàn thành / 88 tính năng</t>
        </is>
      </c>
    </row>
    <row r="10">
      <c r="A10" s="30" t="inlineStr">
        <is>
          <t>3. Công việc hoàn thành trong tháng</t>
        </is>
      </c>
      <c r="B10" s="31">
        <f>IFERROR(INDEX('04_Mục_tiêu'!$B$5:$L$16,MATCH($B$4,'04_Mục_tiêu'!$A$5:$A$16,0),3),"")</f>
        <v/>
      </c>
      <c r="C10" s="32">
        <f>COUNTIFS('z_CV'!$B:$B,"&gt;="&amp;$N$4,'z_CV'!$B:$B,"&lt;="&amp;$O$4,'z_CV'!$O:$O,"Hoàn thành")</f>
        <v/>
      </c>
      <c r="D10" s="33">
        <f>IFERROR(C10/B10,"")</f>
        <v/>
      </c>
      <c r="E10" s="34">
        <f>IF(ISNUMBER(B10),IF(C10&gt;=B10,"Đạt","Chưa đạt"),"Theo dõi")</f>
        <v/>
      </c>
      <c r="F10" s="35" t="inlineStr">
        <is>
          <t>Nhật ký công việc theo ngày</t>
        </is>
      </c>
    </row>
    <row r="11">
      <c r="A11" s="36" t="inlineStr">
        <is>
          <t>4. Lỗi phát hiện trong tháng</t>
        </is>
      </c>
      <c r="B11" s="37">
        <f>IFERROR(INDEX('04_Mục_tiêu'!$B$5:$L$16,MATCH($B$4,'04_Mục_tiêu'!$A$5:$A$16,0),4),"")</f>
        <v/>
      </c>
      <c r="C11" s="38">
        <f>COUNTIFS('z_Loi'!$Q:$Q,"&gt;="&amp;$N$4,'z_Loi'!$Q:$Q,"&lt;="&amp;$O$4)</f>
        <v/>
      </c>
      <c r="D11" s="39">
        <f>IFERROR(C11/B11,"")</f>
        <v/>
      </c>
      <c r="E11" s="40">
        <f>IF(ISNUMBER(B11),IF(C11&gt;=B11,"Đạt","Chưa đạt"),"Theo dõi")</f>
        <v/>
      </c>
      <c r="F11" s="41" t="inlineStr">
        <is>
          <t>Theo Ngày phát hiện (05_Lỗi_Tester)</t>
        </is>
      </c>
    </row>
    <row r="12" ht="19" customHeight="1">
      <c r="A12" s="28" t="inlineStr">
        <is>
          <t>II. HOÀN THIỆN WEBSITE</t>
        </is>
      </c>
      <c r="B12" s="29" t="n"/>
      <c r="C12" s="29" t="n"/>
      <c r="D12" s="29" t="n"/>
      <c r="E12" s="29" t="n"/>
      <c r="F12" s="29" t="n"/>
    </row>
    <row r="13">
      <c r="A13" s="30" t="inlineStr">
        <is>
          <t>1. Lỗi đã xử lý (lũy kế)</t>
        </is>
      </c>
      <c r="B13" s="31">
        <f>IFERROR(INDEX('04_Mục_tiêu'!$B$5:$L$16,MATCH($B$4,'04_Mục_tiêu'!$A$5:$A$16,0),5),"")</f>
        <v/>
      </c>
      <c r="C13" s="32">
        <f>(COUNTIF('z_Loi'!$U:$U,"Fixed")+COUNTIF('z_Loi'!$U:$U,"Verified")+COUNTIF('z_Loi'!$U:$U,"Closed"))</f>
        <v/>
      </c>
      <c r="D13" s="33">
        <f>IFERROR(C13/B13,"")</f>
        <v/>
      </c>
      <c r="E13" s="34">
        <f>IF(ISNUMBER(B13),IF(C13&gt;=B13,"Đạt","Chưa đạt"),"Theo dõi")</f>
        <v/>
      </c>
      <c r="F13" s="35" t="inlineStr">
        <is>
          <t>Fixed + Verified + Closed</t>
        </is>
      </c>
    </row>
    <row r="14">
      <c r="A14" s="36" t="inlineStr">
        <is>
          <t>2. Số Trang đã xử lý</t>
        </is>
      </c>
      <c r="B14" s="37">
        <f>IFERROR(INDEX('04_Mục_tiêu'!$B$5:$L$16,MATCH($B$4,'04_Mục_tiêu'!$A$5:$A$16,0),6),"")</f>
        <v/>
      </c>
      <c r="C14" s="38">
        <f>'z_Trang'!$B$1-'z_Trang'!$L$1</f>
        <v/>
      </c>
      <c r="D14" s="39">
        <f>IFERROR(C14/B14,"")</f>
        <v/>
      </c>
      <c r="E14" s="40">
        <f>IF(ISNUMBER(B14),IF(C14&gt;=B14,"Đạt","Chưa đạt"),"Theo dõi")</f>
        <v/>
      </c>
      <c r="F14" s="41" t="inlineStr">
        <is>
          <t>Đã kiểm thử = Tổng − Chưa kiểm tra</t>
        </is>
      </c>
    </row>
    <row r="15">
      <c r="A15" s="30" t="inlineStr">
        <is>
          <t>3. Số Tính năng đã xử lý</t>
        </is>
      </c>
      <c r="B15" s="31">
        <f>IFERROR(INDEX('04_Mục_tiêu'!$B$5:$L$16,MATCH($B$4,'04_Mục_tiêu'!$A$5:$A$16,0),7),"")</f>
        <v/>
      </c>
      <c r="C15" s="32">
        <f>'z_TinhNang'!$B$1-'z_TinhNang'!$L$1</f>
        <v/>
      </c>
      <c r="D15" s="33">
        <f>IFERROR(C15/B15,"")</f>
        <v/>
      </c>
      <c r="E15" s="34">
        <f>IF(ISNUMBER(B15),IF(C15&gt;=B15,"Đạt","Chưa đạt"),"Theo dõi")</f>
        <v/>
      </c>
      <c r="F15" s="35" t="inlineStr">
        <is>
          <t>Đã kiểm thử = Tổng − Chưa kiểm tra</t>
        </is>
      </c>
    </row>
    <row r="16" ht="19" customHeight="1">
      <c r="A16" s="28" t="inlineStr">
        <is>
          <t>III. DATABASE (trong tháng)</t>
        </is>
      </c>
      <c r="B16" s="29" t="n"/>
      <c r="C16" s="29" t="n"/>
      <c r="D16" s="29" t="n"/>
      <c r="E16" s="29" t="n"/>
      <c r="F16" s="29" t="n"/>
    </row>
    <row r="17">
      <c r="A17" s="30" t="inlineStr">
        <is>
          <t>1. DB Doanh nghiệp đã thêm</t>
        </is>
      </c>
      <c r="B17" s="31">
        <f>IFERROR(INDEX('04_Mục_tiêu'!$B$5:$L$16,MATCH($B$4,'04_Mục_tiêu'!$A$5:$A$16,0),8),"")</f>
        <v/>
      </c>
      <c r="C17" s="32">
        <f>COUNTIFS('z_DB_DN'!$K:$K,"&gt;="&amp;$N$4,'z_DB_DN'!$K:$K,"&lt;="&amp;$O$4)</f>
        <v/>
      </c>
      <c r="D17" s="33">
        <f>IFERROR(C17/B17,"")</f>
        <v/>
      </c>
      <c r="E17" s="34">
        <f>IF(ISNUMBER(B17),IF(C17&gt;=B17,"Đạt","Chưa đạt"),"Theo dõi")</f>
        <v/>
      </c>
      <c r="F17" s="35" t="inlineStr">
        <is>
          <t>Theo Ngày Đăng/Tạo</t>
        </is>
      </c>
    </row>
    <row r="18">
      <c r="A18" s="36" t="inlineStr">
        <is>
          <t>2. DB HR đã thêm</t>
        </is>
      </c>
      <c r="B18" s="37">
        <f>IFERROR(INDEX('04_Mục_tiêu'!$B$5:$L$16,MATCH($B$4,'04_Mục_tiêu'!$A$5:$A$16,0),9),"")</f>
        <v/>
      </c>
      <c r="C18" s="38">
        <f>COUNTIFS('z_DB_HR'!$B:$B,"&gt;="&amp;$N$4,'z_DB_HR'!$B:$B,"&lt;="&amp;$O$4)</f>
        <v/>
      </c>
      <c r="D18" s="39">
        <f>IFERROR(C18/B18,"")</f>
        <v/>
      </c>
      <c r="E18" s="40">
        <f>IF(ISNUMBER(B18),IF(C18&gt;=B18,"Đạt","Chưa đạt"),"Theo dõi")</f>
        <v/>
      </c>
      <c r="F18" s="41" t="inlineStr">
        <is>
          <t>Theo Ngày Đăng/Tạo</t>
        </is>
      </c>
    </row>
    <row r="19">
      <c r="A19" s="30" t="inlineStr">
        <is>
          <t>3. DB Ứng viên đã thêm</t>
        </is>
      </c>
      <c r="B19" s="31">
        <f>IFERROR(INDEX('04_Mục_tiêu'!$B$5:$L$16,MATCH($B$4,'04_Mục_tiêu'!$A$5:$A$16,0),10),"")</f>
        <v/>
      </c>
      <c r="C19" s="32">
        <f>COUNTA('z_DB_UV'!$A:$A)</f>
        <v/>
      </c>
      <c r="D19" s="33">
        <f>IFERROR(C19/B19,"")</f>
        <v/>
      </c>
      <c r="E19" s="34">
        <f>IF(ISNUMBER(B19),IF(C19&gt;=B19,"Đạt","Chưa đạt"),"Theo dõi")</f>
        <v/>
      </c>
      <c r="F19" s="35" t="inlineStr">
        <is>
          <t>Theo tổng (chưa có cột ngày nhập)</t>
        </is>
      </c>
    </row>
    <row r="20">
      <c r="A20" s="36" t="inlineStr">
        <is>
          <t>4. Tin tuyển dụng đã đăng</t>
        </is>
      </c>
      <c r="B20" s="37">
        <f>IFERROR(INDEX('04_Mục_tiêu'!$B$5:$L$16,MATCH($B$4,'04_Mục_tiêu'!$A$5:$A$16,0),11),"")</f>
        <v/>
      </c>
      <c r="C20" s="38">
        <f>COUNTIFS('z_DB_Tin'!$B:$B,"&gt;="&amp;$N$4,'z_DB_Tin'!$B:$B,"&lt;="&amp;$O$4)</f>
        <v/>
      </c>
      <c r="D20" s="39">
        <f>IFERROR(C20/B20,"")</f>
        <v/>
      </c>
      <c r="E20" s="40">
        <f>IF(ISNUMBER(B20),IF(C20&gt;=B20,"Đạt","Chưa đạt"),"Theo dõi")</f>
        <v/>
      </c>
      <c r="F20" s="41" t="inlineStr">
        <is>
          <t>Theo Ngày viết</t>
        </is>
      </c>
    </row>
    <row r="22" ht="22" customHeight="1">
      <c r="A22" s="11" t="inlineStr">
        <is>
          <t>TỔNG QUAN HIỆN TẠI (thời điểm xem)</t>
        </is>
      </c>
      <c r="B22" s="7" t="n"/>
      <c r="C22" s="7" t="n"/>
      <c r="D22" s="7" t="n"/>
      <c r="E22" s="7" t="n"/>
      <c r="F22" s="7" t="n"/>
    </row>
    <row r="23">
      <c r="A23" s="42" t="inlineStr">
        <is>
          <t>Chỉ số</t>
        </is>
      </c>
      <c r="B23" s="43" t="inlineStr">
        <is>
          <t>Số lượng</t>
        </is>
      </c>
      <c r="C23" s="43" t="inlineStr">
        <is>
          <t>Tổng</t>
        </is>
      </c>
      <c r="D23" s="43" t="inlineStr">
        <is>
          <t>Tỷ lệ</t>
        </is>
      </c>
    </row>
    <row r="24" ht="19" customHeight="1">
      <c r="A24" s="28" t="inlineStr">
        <is>
          <t>I. KIỂM TRA WEBSITE</t>
        </is>
      </c>
      <c r="B24" s="29" t="n"/>
      <c r="C24" s="29" t="n"/>
      <c r="D24" s="29" t="n"/>
      <c r="E24" s="29" t="n"/>
      <c r="F24" s="29" t="n"/>
    </row>
    <row r="25">
      <c r="A25" s="44" t="inlineStr">
        <is>
          <t>Trang hoàn thành</t>
        </is>
      </c>
      <c r="B25" s="45">
        <f>'z_Trang'!$D$1</f>
        <v/>
      </c>
      <c r="C25" s="46">
        <f>'z_Trang'!$B$1</f>
        <v/>
      </c>
      <c r="D25" s="47">
        <f>'z_Trang'!$F$1</f>
        <v/>
      </c>
    </row>
    <row r="26">
      <c r="A26" s="48" t="inlineStr">
        <is>
          <t>Trang đang kiểm tra</t>
        </is>
      </c>
      <c r="B26" s="38">
        <f>'z_Trang'!$H$1</f>
        <v/>
      </c>
      <c r="C26" s="49">
        <f>'z_Trang'!$B$1</f>
        <v/>
      </c>
      <c r="D26" s="50">
        <f>'z_Trang'!$H$1/'z_Trang'!$B$1</f>
        <v/>
      </c>
    </row>
    <row r="27">
      <c r="A27" s="51" t="inlineStr">
        <is>
          <t>Trang cần kiểm tra lại</t>
        </is>
      </c>
      <c r="B27" s="32">
        <f>'z_Trang'!$J$1</f>
        <v/>
      </c>
      <c r="C27" s="52">
        <f>'z_Trang'!$B$1</f>
        <v/>
      </c>
      <c r="D27" s="53">
        <f>'z_Trang'!$J$1/'z_Trang'!$B$1</f>
        <v/>
      </c>
    </row>
    <row r="28">
      <c r="A28" s="48" t="inlineStr">
        <is>
          <t>Trang chưa kiểm tra</t>
        </is>
      </c>
      <c r="B28" s="38">
        <f>'z_Trang'!$L$1</f>
        <v/>
      </c>
      <c r="C28" s="49">
        <f>'z_Trang'!$B$1</f>
        <v/>
      </c>
      <c r="D28" s="50">
        <f>'z_Trang'!$L$1/'z_Trang'!$B$1</f>
        <v/>
      </c>
    </row>
    <row r="29">
      <c r="A29" s="44" t="inlineStr">
        <is>
          <t>Tính năng hoàn thành</t>
        </is>
      </c>
      <c r="B29" s="45">
        <f>'z_TinhNang'!$D$1</f>
        <v/>
      </c>
      <c r="C29" s="46">
        <f>'z_TinhNang'!$B$1</f>
        <v/>
      </c>
      <c r="D29" s="47">
        <f>'z_TinhNang'!$F$1</f>
        <v/>
      </c>
    </row>
    <row r="30">
      <c r="A30" s="48" t="inlineStr">
        <is>
          <t>Tính năng cần kiểm tra lại</t>
        </is>
      </c>
      <c r="B30" s="38">
        <f>'z_TinhNang'!$J$1</f>
        <v/>
      </c>
      <c r="C30" s="49">
        <f>'z_TinhNang'!$B$1</f>
        <v/>
      </c>
      <c r="D30" s="50">
        <f>'z_TinhNang'!$J$1/'z_TinhNang'!$B$1</f>
        <v/>
      </c>
    </row>
    <row r="31">
      <c r="A31" s="51" t="inlineStr">
        <is>
          <t>Tính năng chưa kiểm tra</t>
        </is>
      </c>
      <c r="B31" s="32">
        <f>'z_TinhNang'!$L$1</f>
        <v/>
      </c>
      <c r="C31" s="52">
        <f>'z_TinhNang'!$B$1</f>
        <v/>
      </c>
      <c r="D31" s="53">
        <f>'z_TinhNang'!$L$1/'z_TinhNang'!$B$1</f>
        <v/>
      </c>
    </row>
    <row r="32">
      <c r="A32" s="48" t="inlineStr">
        <is>
          <t>Tổng lỗi ghi nhận</t>
        </is>
      </c>
      <c r="B32" s="38">
        <f>COUNTA('z_Loi'!$E:$E)-1</f>
        <v/>
      </c>
      <c r="C32" s="54" t="n"/>
      <c r="D32" s="40" t="n"/>
    </row>
    <row r="33">
      <c r="A33" s="55" t="inlineStr">
        <is>
          <t>Lỗi đang mở (Open + Chưa gửi Dev)</t>
        </is>
      </c>
      <c r="B33" s="56">
        <f>(COUNTIF('z_Loi'!$U:$U,"Open")+COUNTIF('z_Loi'!$U:$U,"Chưa gửi Dev"))</f>
        <v/>
      </c>
      <c r="C33" s="57" t="n"/>
      <c r="D33" s="58" t="n"/>
    </row>
    <row r="34">
      <c r="A34" s="55" t="inlineStr">
        <is>
          <t>Lỗi Critical/High đang mở</t>
        </is>
      </c>
      <c r="B34" s="56">
        <f>(COUNTIFS('z_Loi'!$U:$U,"Open",'z_Loi'!$L:$L,"Critical")+COUNTIFS('z_Loi'!$U:$U,"Open",'z_Loi'!$L:$L,"High")+COUNTIFS('z_Loi'!$U:$U,"Chưa gửi Dev",'z_Loi'!$L:$L,"Critical")+COUNTIFS('z_Loi'!$U:$U,"Chưa gửi Dev",'z_Loi'!$L:$L,"High"))</f>
        <v/>
      </c>
      <c r="C34" s="57" t="n"/>
      <c r="D34" s="58" t="n"/>
    </row>
    <row r="35" ht="19" customHeight="1">
      <c r="A35" s="28" t="inlineStr">
        <is>
          <t>II. DATABASE (tổng đã thêm)</t>
        </is>
      </c>
      <c r="B35" s="29" t="n"/>
      <c r="C35" s="29" t="n"/>
      <c r="D35" s="29" t="n"/>
      <c r="E35" s="29" t="n"/>
      <c r="F35" s="29" t="n"/>
    </row>
    <row r="36">
      <c r="A36" s="51" t="inlineStr">
        <is>
          <t>DB Doanh nghiệp</t>
        </is>
      </c>
      <c r="B36" s="32">
        <f>COUNTA('z_DB_DN'!$A:$A)</f>
        <v/>
      </c>
      <c r="C36" s="59" t="n"/>
      <c r="D36" s="34" t="n"/>
    </row>
    <row r="37">
      <c r="A37" s="48" t="inlineStr">
        <is>
          <t>DB HR</t>
        </is>
      </c>
      <c r="B37" s="38">
        <f>COUNTA('z_DB_HR'!$A:$A)</f>
        <v/>
      </c>
      <c r="C37" s="54" t="n"/>
      <c r="D37" s="40" t="n"/>
    </row>
    <row r="38">
      <c r="A38" s="51" t="inlineStr">
        <is>
          <t>DB Ứng viên</t>
        </is>
      </c>
      <c r="B38" s="32">
        <f>COUNTA('z_DB_UV'!$A:$A)</f>
        <v/>
      </c>
      <c r="C38" s="59" t="n"/>
      <c r="D38" s="34" t="n"/>
    </row>
    <row r="39">
      <c r="A39" s="48" t="inlineStr">
        <is>
          <t>Tin tuyển dụng đã đăng</t>
        </is>
      </c>
      <c r="B39" s="38">
        <f>COUNTA('z_DB_Tin'!$A:$A)</f>
        <v/>
      </c>
      <c r="C39" s="54" t="n"/>
      <c r="D39" s="40" t="n"/>
    </row>
    <row r="41" ht="22" customHeight="1">
      <c r="A41" s="11" t="inlineStr">
        <is>
          <t>TÌNH TRẠNG XỬ LÝ LỖI (toàn bộ)</t>
        </is>
      </c>
      <c r="B41" s="7" t="n"/>
      <c r="C41" s="7" t="n"/>
      <c r="D41" s="7" t="n"/>
      <c r="E41" s="7" t="n"/>
      <c r="F41" s="7" t="n"/>
    </row>
    <row r="42">
      <c r="A42" s="42" t="inlineStr">
        <is>
          <t>Trạng thái</t>
        </is>
      </c>
      <c r="B42" s="43" t="inlineStr">
        <is>
          <t>Số lỗi</t>
        </is>
      </c>
      <c r="C42" s="42" t="inlineStr">
        <is>
          <t>Ý nghĩa</t>
        </is>
      </c>
      <c r="D42" s="60" t="n"/>
      <c r="E42" s="60" t="n"/>
      <c r="F42" s="60" t="n"/>
    </row>
    <row r="43">
      <c r="A43" s="61" t="inlineStr">
        <is>
          <t>Open</t>
        </is>
      </c>
      <c r="B43" s="32">
        <f>COUNTIF('z_Loi'!$U:$U,"Open")</f>
        <v/>
      </c>
      <c r="C43" s="62" t="inlineStr">
        <is>
          <t>Lỗi đang mở, đã ghi nhận</t>
        </is>
      </c>
      <c r="D43" s="63" t="n"/>
      <c r="E43" s="63" t="n"/>
      <c r="F43" s="63" t="n"/>
    </row>
    <row r="44">
      <c r="A44" s="64" t="inlineStr">
        <is>
          <t>Chưa gửi Dev</t>
        </is>
      </c>
      <c r="B44" s="38">
        <f>COUNTIF('z_Loi'!$U:$U,"Chưa gửi Dev")</f>
        <v/>
      </c>
      <c r="C44" s="65" t="inlineStr">
        <is>
          <t>Chưa chuyển Dev xử lý</t>
        </is>
      </c>
      <c r="D44" s="66" t="n"/>
      <c r="E44" s="66" t="n"/>
      <c r="F44" s="66" t="n"/>
    </row>
    <row r="45">
      <c r="A45" s="67" t="inlineStr">
        <is>
          <t>Fixed</t>
        </is>
      </c>
      <c r="B45" s="32">
        <f>COUNTIF('z_Loi'!$U:$U,"Fixed")</f>
        <v/>
      </c>
      <c r="C45" s="62" t="inlineStr">
        <is>
          <t>Dev báo đã sửa</t>
        </is>
      </c>
      <c r="D45" s="63" t="n"/>
      <c r="E45" s="63" t="n"/>
      <c r="F45" s="63" t="n"/>
    </row>
    <row r="46">
      <c r="A46" s="68" t="inlineStr">
        <is>
          <t>Verified</t>
        </is>
      </c>
      <c r="B46" s="38">
        <f>COUNTIF('z_Loi'!$U:$U,"Verified")</f>
        <v/>
      </c>
      <c r="C46" s="65" t="inlineStr">
        <is>
          <t>Đã retest đạt</t>
        </is>
      </c>
      <c r="D46" s="66" t="n"/>
      <c r="E46" s="66" t="n"/>
      <c r="F46" s="66" t="n"/>
    </row>
    <row r="47">
      <c r="A47" s="69" t="inlineStr">
        <is>
          <t>Closed</t>
        </is>
      </c>
      <c r="B47" s="32">
        <f>COUNTIF('z_Loi'!$U:$U,"Closed")</f>
        <v/>
      </c>
      <c r="C47" s="62" t="inlineStr">
        <is>
          <t>Đã đóng</t>
        </is>
      </c>
      <c r="D47" s="63" t="n"/>
      <c r="E47" s="63" t="n"/>
      <c r="F47" s="63" t="n"/>
    </row>
    <row r="48">
      <c r="A48" s="70" t="inlineStr">
        <is>
          <t>Deferred</t>
        </is>
      </c>
      <c r="B48" s="38">
        <f>COUNTIF('z_Loi'!$U:$U,"Deferred")</f>
        <v/>
      </c>
      <c r="C48" s="65" t="inlineStr">
        <is>
          <t>Tạm hoãn / không sửa</t>
        </is>
      </c>
      <c r="D48" s="66" t="n"/>
      <c r="E48" s="66" t="n"/>
      <c r="F48" s="66" t="n"/>
    </row>
    <row r="50" ht="22" customHeight="1">
      <c r="A50" s="11" t="inlineStr">
        <is>
          <t>PHÂN BỐ LỖI PHÁT HIỆN TRONG THÁNG</t>
        </is>
      </c>
      <c r="B50" s="7" t="n"/>
      <c r="C50" s="7" t="n"/>
      <c r="D50" s="7" t="n"/>
      <c r="E50" s="7" t="n"/>
      <c r="F50" s="7" t="n"/>
    </row>
    <row r="51">
      <c r="A51" s="42" t="inlineStr">
        <is>
          <t>Theo mức độ</t>
        </is>
      </c>
      <c r="B51" s="43" t="inlineStr">
        <is>
          <t>Số lỗi</t>
        </is>
      </c>
      <c r="D51" s="42" t="inlineStr">
        <is>
          <t>Theo thiết bị</t>
        </is>
      </c>
      <c r="E51" s="43" t="inlineStr">
        <is>
          <t>Số lỗi</t>
        </is>
      </c>
    </row>
    <row r="52">
      <c r="A52" s="61" t="inlineStr">
        <is>
          <t>Critical</t>
        </is>
      </c>
      <c r="B52" s="32">
        <f>COUNTIFS('z_Loi'!$Q:$Q,"&gt;="&amp;$N$4,'z_Loi'!$Q:$Q,"&lt;="&amp;$O$4,'z_Loi'!$L:$L,"Critical")</f>
        <v/>
      </c>
      <c r="D52" s="51" t="inlineStr">
        <is>
          <t>Desktop</t>
        </is>
      </c>
      <c r="E52" s="32">
        <f>COUNTIFS('z_Loi'!$Q:$Q,"&gt;="&amp;$N$4,'z_Loi'!$Q:$Q,"&lt;="&amp;$O$4,'z_Loi'!$M:$M,"*Desktop*")</f>
        <v/>
      </c>
    </row>
    <row r="53">
      <c r="A53" s="71" t="inlineStr">
        <is>
          <t>High</t>
        </is>
      </c>
      <c r="B53" s="38">
        <f>COUNTIFS('z_Loi'!$Q:$Q,"&gt;="&amp;$N$4,'z_Loi'!$Q:$Q,"&lt;="&amp;$O$4,'z_Loi'!$L:$L,"High")</f>
        <v/>
      </c>
      <c r="D53" s="48" t="inlineStr">
        <is>
          <t>Mobile</t>
        </is>
      </c>
      <c r="E53" s="38">
        <f>COUNTIFS('z_Loi'!$Q:$Q,"&gt;="&amp;$N$4,'z_Loi'!$Q:$Q,"&lt;="&amp;$O$4,'z_Loi'!$M:$M,"*Mobile*")</f>
        <v/>
      </c>
    </row>
    <row r="54">
      <c r="A54" s="72" t="inlineStr">
        <is>
          <t>Medium</t>
        </is>
      </c>
      <c r="B54" s="32">
        <f>COUNTIFS('z_Loi'!$Q:$Q,"&gt;="&amp;$N$4,'z_Loi'!$Q:$Q,"&lt;="&amp;$O$4,'z_Loi'!$L:$L,"Medium")</f>
        <v/>
      </c>
      <c r="D54" s="51" t="inlineStr">
        <is>
          <t>Tablet</t>
        </is>
      </c>
      <c r="E54" s="32">
        <f>COUNTIFS('z_Loi'!$Q:$Q,"&gt;="&amp;$N$4,'z_Loi'!$Q:$Q,"&lt;="&amp;$O$4,'z_Loi'!$M:$M,"*Tablet*")</f>
        <v/>
      </c>
    </row>
    <row r="55">
      <c r="A55" s="68" t="inlineStr">
        <is>
          <t>Low</t>
        </is>
      </c>
      <c r="B55" s="38">
        <f>COUNTIFS('z_Loi'!$Q:$Q,"&gt;="&amp;$N$4,'z_Loi'!$Q:$Q,"&lt;="&amp;$O$4,'z_Loi'!$L:$L,"Low")</f>
        <v/>
      </c>
    </row>
    <row r="57">
      <c r="A57" s="73" t="inlineStr">
        <is>
          <t>THANH TIẾN ĐỘ HOÀN THÀNH</t>
        </is>
      </c>
      <c r="B57" s="60" t="n"/>
      <c r="C57" s="60" t="n"/>
      <c r="D57" s="60" t="n"/>
      <c r="E57" s="60" t="n"/>
      <c r="F57" s="60" t="n"/>
    </row>
    <row r="58">
      <c r="A58" s="74" t="inlineStr">
        <is>
          <t>Trang</t>
        </is>
      </c>
      <c r="B58" s="75">
        <f>REPT("█",ROUND('z_Trang'!$F$1*30,0))&amp;" "&amp;TEXT('z_Trang'!$F$1,"0.0%")</f>
        <v/>
      </c>
      <c r="C58" s="63" t="n"/>
      <c r="D58" s="63" t="n"/>
      <c r="E58" s="63" t="n"/>
      <c r="F58" s="63" t="n"/>
    </row>
    <row r="59">
      <c r="A59" s="76" t="inlineStr">
        <is>
          <t>Tính năng</t>
        </is>
      </c>
      <c r="B59" s="77">
        <f>REPT("█",ROUND('z_TinhNang'!$F$1*30,0))&amp;" "&amp;TEXT('z_TinhNang'!$F$1,"0.0%")</f>
        <v/>
      </c>
      <c r="C59" s="66" t="n"/>
      <c r="D59" s="66" t="n"/>
      <c r="E59" s="66" t="n"/>
      <c r="F59" s="66" t="n"/>
    </row>
    <row r="61" ht="22" customHeight="1">
      <c r="A61" s="11" t="inlineStr">
        <is>
          <t>CHI TIẾT: TRANG &amp; TÍNH NĂNG ĐÃ TEST TRONG THÁNG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78" t="inlineStr">
        <is>
          <t>Trang/tính năng có Ngày test gần nhất trong kỳ (trạng thái Hoàn thành hoặc Kiểm tra lại).</t>
        </is>
      </c>
      <c r="B62" s="5" t="n"/>
      <c r="C62" s="5" t="n"/>
      <c r="D62" s="5" t="n"/>
      <c r="E62" s="5" t="n"/>
      <c r="F62" s="5" t="n"/>
      <c r="G62" s="5" t="n"/>
      <c r="H62" s="5" t="n"/>
    </row>
    <row r="63">
      <c r="A63" s="42" t="inlineStr">
        <is>
          <t>TRANG đã test trong kỳ</t>
        </is>
      </c>
      <c r="B63" s="43" t="inlineStr">
        <is>
          <t>Số lỗi</t>
        </is>
      </c>
      <c r="C63" s="43" t="inlineStr">
        <is>
          <t>Trạng thái</t>
        </is>
      </c>
      <c r="F63" s="42" t="inlineStr">
        <is>
          <t>TÍNH NĂNG đã test trong kỳ</t>
        </is>
      </c>
      <c r="G63" s="43" t="inlineStr">
        <is>
          <t>Số lỗi</t>
        </is>
      </c>
      <c r="H63" s="43" t="inlineStr">
        <is>
          <t>Trạng thái</t>
        </is>
      </c>
    </row>
    <row r="64">
      <c r="A64" s="79">
        <f>IFERROR(QUERY('z_TrangFull'!$A$1:$R$65,"select B, I, E where P &gt;= date '"&amp;TEXT($N$4,"yyyy-mm-dd")&amp;"' and P &lt;= date '"&amp;TEXT($O$4,"yyyy-mm-dd")&amp;"' and (E = 'Hoàn thành' or E = 'Kiểm tra lại') order by I desc label B '', I '', E '' format I '#,##0'",1),"(không có trang test trong kỳ)")</f>
        <v/>
      </c>
      <c r="B64" s="80" t="n"/>
      <c r="C64" s="14" t="n"/>
      <c r="F64" s="79">
        <f>IFERROR(QUERY('z_TNFull'!$A$1:$T$89,"select B, K, J where R &gt;= date '"&amp;TEXT($N$4,"yyyy-mm-dd")&amp;"' and R &lt;= date '"&amp;TEXT($O$4,"yyyy-mm-dd")&amp;"' and (J = 'Hoàn thành' or J = 'Kiểm tra lại') order by K desc label B '', K '', J '' format K '#,##0'",1),"(không có tính năng test trong kỳ)")</f>
        <v/>
      </c>
      <c r="G64" s="80" t="n"/>
      <c r="H64" s="14" t="n"/>
    </row>
    <row r="65">
      <c r="A65" s="14" t="n"/>
      <c r="B65" s="80" t="n"/>
      <c r="C65" s="14" t="n"/>
      <c r="F65" s="14" t="n"/>
      <c r="G65" s="80" t="n"/>
      <c r="H65" s="14" t="n"/>
    </row>
    <row r="66">
      <c r="A66" s="14" t="n"/>
      <c r="B66" s="80" t="n"/>
      <c r="C66" s="14" t="n"/>
      <c r="F66" s="14" t="n"/>
      <c r="G66" s="80" t="n"/>
      <c r="H66" s="14" t="n"/>
    </row>
    <row r="67">
      <c r="A67" s="14" t="n"/>
      <c r="B67" s="80" t="n"/>
      <c r="C67" s="14" t="n"/>
      <c r="F67" s="14" t="n"/>
      <c r="G67" s="80" t="n"/>
      <c r="H67" s="14" t="n"/>
    </row>
    <row r="68">
      <c r="A68" s="14" t="n"/>
      <c r="B68" s="80" t="n"/>
      <c r="C68" s="14" t="n"/>
      <c r="F68" s="14" t="n"/>
      <c r="G68" s="80" t="n"/>
      <c r="H68" s="14" t="n"/>
    </row>
    <row r="69">
      <c r="A69" s="14" t="n"/>
      <c r="B69" s="80" t="n"/>
      <c r="C69" s="14" t="n"/>
      <c r="F69" s="14" t="n"/>
      <c r="G69" s="80" t="n"/>
      <c r="H69" s="14" t="n"/>
    </row>
    <row r="70">
      <c r="A70" s="14" t="n"/>
      <c r="B70" s="80" t="n"/>
      <c r="C70" s="14" t="n"/>
      <c r="F70" s="14" t="n"/>
      <c r="G70" s="80" t="n"/>
      <c r="H70" s="14" t="n"/>
    </row>
    <row r="71">
      <c r="A71" s="14" t="n"/>
      <c r="B71" s="80" t="n"/>
      <c r="C71" s="14" t="n"/>
      <c r="F71" s="14" t="n"/>
      <c r="G71" s="80" t="n"/>
      <c r="H71" s="14" t="n"/>
    </row>
    <row r="72">
      <c r="A72" s="14" t="n"/>
      <c r="B72" s="80" t="n"/>
      <c r="C72" s="14" t="n"/>
      <c r="F72" s="14" t="n"/>
      <c r="G72" s="80" t="n"/>
      <c r="H72" s="14" t="n"/>
    </row>
    <row r="73">
      <c r="A73" s="14" t="n"/>
      <c r="B73" s="80" t="n"/>
      <c r="C73" s="14" t="n"/>
      <c r="F73" s="14" t="n"/>
      <c r="G73" s="80" t="n"/>
      <c r="H73" s="14" t="n"/>
    </row>
    <row r="74">
      <c r="A74" s="14" t="n"/>
      <c r="B74" s="80" t="n"/>
      <c r="C74" s="14" t="n"/>
      <c r="F74" s="14" t="n"/>
      <c r="G74" s="80" t="n"/>
      <c r="H74" s="14" t="n"/>
    </row>
    <row r="75">
      <c r="A75" s="14" t="n"/>
      <c r="B75" s="80" t="n"/>
      <c r="C75" s="14" t="n"/>
      <c r="F75" s="14" t="n"/>
      <c r="G75" s="80" t="n"/>
      <c r="H75" s="14" t="n"/>
    </row>
    <row r="76">
      <c r="A76" s="14" t="n"/>
      <c r="B76" s="80" t="n"/>
      <c r="C76" s="14" t="n"/>
      <c r="F76" s="14" t="n"/>
      <c r="G76" s="80" t="n"/>
      <c r="H76" s="14" t="n"/>
    </row>
    <row r="77">
      <c r="A77" s="14" t="n"/>
      <c r="B77" s="80" t="n"/>
      <c r="C77" s="14" t="n"/>
      <c r="F77" s="14" t="n"/>
      <c r="G77" s="80" t="n"/>
      <c r="H77" s="14" t="n"/>
    </row>
    <row r="78">
      <c r="A78" s="14" t="n"/>
      <c r="B78" s="80" t="n"/>
      <c r="C78" s="14" t="n"/>
      <c r="F78" s="14" t="n"/>
      <c r="G78" s="80" t="n"/>
      <c r="H78" s="14" t="n"/>
    </row>
    <row r="79">
      <c r="A79" s="14" t="n"/>
      <c r="B79" s="80" t="n"/>
      <c r="C79" s="14" t="n"/>
      <c r="F79" s="14" t="n"/>
      <c r="G79" s="80" t="n"/>
      <c r="H79" s="14" t="n"/>
    </row>
    <row r="80">
      <c r="A80" s="14" t="n"/>
      <c r="B80" s="80" t="n"/>
      <c r="C80" s="14" t="n"/>
      <c r="F80" s="14" t="n"/>
      <c r="G80" s="80" t="n"/>
      <c r="H80" s="14" t="n"/>
    </row>
    <row r="81">
      <c r="A81" s="14" t="n"/>
      <c r="B81" s="80" t="n"/>
      <c r="C81" s="14" t="n"/>
      <c r="F81" s="14" t="n"/>
      <c r="G81" s="80" t="n"/>
      <c r="H81" s="14" t="n"/>
    </row>
    <row r="82">
      <c r="A82" s="14" t="n"/>
      <c r="B82" s="80" t="n"/>
      <c r="C82" s="14" t="n"/>
      <c r="F82" s="14" t="n"/>
      <c r="G82" s="80" t="n"/>
      <c r="H82" s="14" t="n"/>
    </row>
    <row r="83">
      <c r="A83" s="14" t="n"/>
      <c r="B83" s="80" t="n"/>
      <c r="C83" s="14" t="n"/>
      <c r="F83" s="14" t="n"/>
      <c r="G83" s="80" t="n"/>
      <c r="H83" s="14" t="n"/>
    </row>
    <row r="84">
      <c r="A84" s="14" t="n"/>
      <c r="B84" s="80" t="n"/>
      <c r="C84" s="14" t="n"/>
      <c r="F84" s="14" t="n"/>
      <c r="G84" s="80" t="n"/>
      <c r="H84" s="14" t="n"/>
    </row>
    <row r="85">
      <c r="A85" s="14" t="n"/>
      <c r="B85" s="80" t="n"/>
      <c r="C85" s="14" t="n"/>
      <c r="F85" s="14" t="n"/>
      <c r="G85" s="80" t="n"/>
      <c r="H85" s="14" t="n"/>
    </row>
    <row r="86">
      <c r="A86" s="14" t="n"/>
      <c r="B86" s="80" t="n"/>
      <c r="C86" s="14" t="n"/>
      <c r="F86" s="14" t="n"/>
      <c r="G86" s="80" t="n"/>
      <c r="H86" s="14" t="n"/>
    </row>
    <row r="87">
      <c r="A87" s="14" t="n"/>
      <c r="B87" s="80" t="n"/>
      <c r="C87" s="14" t="n"/>
      <c r="F87" s="14" t="n"/>
      <c r="G87" s="80" t="n"/>
      <c r="H87" s="14" t="n"/>
    </row>
    <row r="88">
      <c r="A88" s="14" t="n"/>
      <c r="B88" s="80" t="n"/>
      <c r="C88" s="14" t="n"/>
      <c r="F88" s="14" t="n"/>
      <c r="G88" s="80" t="n"/>
      <c r="H88" s="14" t="n"/>
    </row>
    <row r="89">
      <c r="A89" s="14" t="n"/>
      <c r="B89" s="80" t="n"/>
      <c r="C89" s="14" t="n"/>
      <c r="F89" s="14" t="n"/>
      <c r="G89" s="80" t="n"/>
      <c r="H89" s="14" t="n"/>
    </row>
    <row r="90">
      <c r="A90" s="14" t="n"/>
      <c r="B90" s="80" t="n"/>
      <c r="C90" s="14" t="n"/>
      <c r="F90" s="14" t="n"/>
      <c r="G90" s="80" t="n"/>
      <c r="H90" s="14" t="n"/>
    </row>
    <row r="91">
      <c r="A91" s="14" t="n"/>
      <c r="B91" s="80" t="n"/>
      <c r="C91" s="14" t="n"/>
      <c r="F91" s="14" t="n"/>
      <c r="G91" s="80" t="n"/>
      <c r="H91" s="14" t="n"/>
    </row>
    <row r="92">
      <c r="A92" s="14" t="n"/>
      <c r="B92" s="80" t="n"/>
      <c r="C92" s="14" t="n"/>
      <c r="F92" s="14" t="n"/>
      <c r="G92" s="80" t="n"/>
      <c r="H92" s="14" t="n"/>
    </row>
    <row r="93">
      <c r="A93" s="14" t="n"/>
      <c r="B93" s="80" t="n"/>
      <c r="C93" s="14" t="n"/>
      <c r="F93" s="14" t="n"/>
      <c r="G93" s="80" t="n"/>
      <c r="H93" s="14" t="n"/>
    </row>
    <row r="94">
      <c r="A94" s="14" t="n"/>
      <c r="B94" s="80" t="n"/>
      <c r="C94" s="14" t="n"/>
      <c r="F94" s="14" t="n"/>
      <c r="G94" s="80" t="n"/>
      <c r="H94" s="14" t="n"/>
    </row>
    <row r="95">
      <c r="A95" s="14" t="n"/>
      <c r="B95" s="80" t="n"/>
      <c r="C95" s="14" t="n"/>
      <c r="F95" s="14" t="n"/>
      <c r="G95" s="80" t="n"/>
      <c r="H95" s="14" t="n"/>
    </row>
    <row r="96">
      <c r="A96" s="14" t="n"/>
      <c r="B96" s="80" t="n"/>
      <c r="C96" s="14" t="n"/>
      <c r="F96" s="14" t="n"/>
      <c r="G96" s="80" t="n"/>
      <c r="H96" s="14" t="n"/>
    </row>
    <row r="97">
      <c r="A97" s="14" t="n"/>
      <c r="B97" s="80" t="n"/>
      <c r="C97" s="14" t="n"/>
      <c r="F97" s="14" t="n"/>
      <c r="G97" s="80" t="n"/>
      <c r="H97" s="14" t="n"/>
    </row>
    <row r="98">
      <c r="A98" s="14" t="n"/>
      <c r="B98" s="80" t="n"/>
      <c r="C98" s="14" t="n"/>
      <c r="F98" s="14" t="n"/>
      <c r="G98" s="80" t="n"/>
      <c r="H98" s="14" t="n"/>
    </row>
    <row r="99">
      <c r="A99" s="14" t="n"/>
      <c r="B99" s="80" t="n"/>
      <c r="C99" s="14" t="n"/>
      <c r="F99" s="14" t="n"/>
      <c r="G99" s="80" t="n"/>
      <c r="H99" s="14" t="n"/>
    </row>
    <row r="100">
      <c r="A100" s="14" t="n"/>
      <c r="B100" s="80" t="n"/>
      <c r="C100" s="14" t="n"/>
      <c r="F100" s="14" t="n"/>
      <c r="G100" s="80" t="n"/>
      <c r="H100" s="14" t="n"/>
    </row>
    <row r="101">
      <c r="A101" s="14" t="n"/>
      <c r="B101" s="80" t="n"/>
      <c r="C101" s="14" t="n"/>
      <c r="F101" s="14" t="n"/>
      <c r="G101" s="80" t="n"/>
      <c r="H101" s="14" t="n"/>
    </row>
    <row r="102">
      <c r="A102" s="14" t="n"/>
      <c r="B102" s="80" t="n"/>
      <c r="C102" s="14" t="n"/>
      <c r="F102" s="14" t="n"/>
      <c r="G102" s="80" t="n"/>
      <c r="H102" s="14" t="n"/>
    </row>
    <row r="103">
      <c r="A103" s="14" t="n"/>
      <c r="B103" s="80" t="n"/>
      <c r="C103" s="14" t="n"/>
      <c r="F103" s="14" t="n"/>
      <c r="G103" s="80" t="n"/>
      <c r="H103" s="14" t="n"/>
    </row>
    <row r="104">
      <c r="A104" s="14" t="n"/>
      <c r="B104" s="80" t="n"/>
      <c r="C104" s="14" t="n"/>
      <c r="F104" s="14" t="n"/>
      <c r="G104" s="80" t="n"/>
      <c r="H104" s="14" t="n"/>
    </row>
    <row r="105">
      <c r="A105" s="14" t="n"/>
      <c r="B105" s="80" t="n"/>
      <c r="C105" s="14" t="n"/>
      <c r="F105" s="14" t="n"/>
      <c r="G105" s="80" t="n"/>
      <c r="H105" s="14" t="n"/>
    </row>
    <row r="106">
      <c r="A106" s="14" t="n"/>
      <c r="B106" s="80" t="n"/>
      <c r="C106" s="14" t="n"/>
      <c r="F106" s="14" t="n"/>
      <c r="G106" s="80" t="n"/>
      <c r="H106" s="14" t="n"/>
    </row>
    <row r="107">
      <c r="A107" s="14" t="n"/>
      <c r="B107" s="80" t="n"/>
      <c r="C107" s="14" t="n"/>
      <c r="F107" s="14" t="n"/>
      <c r="G107" s="80" t="n"/>
      <c r="H107" s="14" t="n"/>
    </row>
    <row r="108">
      <c r="A108" s="14" t="n"/>
      <c r="B108" s="80" t="n"/>
      <c r="C108" s="14" t="n"/>
      <c r="F108" s="14" t="n"/>
      <c r="G108" s="80" t="n"/>
      <c r="H108" s="14" t="n"/>
    </row>
    <row r="109">
      <c r="A109" s="14" t="n"/>
      <c r="B109" s="80" t="n"/>
      <c r="C109" s="14" t="n"/>
      <c r="F109" s="14" t="n"/>
      <c r="G109" s="80" t="n"/>
      <c r="H109" s="14" t="n"/>
    </row>
    <row r="110">
      <c r="A110" s="14" t="n"/>
      <c r="B110" s="80" t="n"/>
      <c r="C110" s="14" t="n"/>
      <c r="F110" s="14" t="n"/>
      <c r="G110" s="80" t="n"/>
      <c r="H110" s="14" t="n"/>
    </row>
    <row r="111">
      <c r="A111" s="14" t="n"/>
      <c r="B111" s="80" t="n"/>
      <c r="C111" s="14" t="n"/>
      <c r="F111" s="14" t="n"/>
      <c r="G111" s="80" t="n"/>
      <c r="H111" s="14" t="n"/>
    </row>
    <row r="112">
      <c r="A112" s="14" t="n"/>
      <c r="B112" s="80" t="n"/>
      <c r="C112" s="14" t="n"/>
      <c r="F112" s="14" t="n"/>
      <c r="G112" s="80" t="n"/>
      <c r="H112" s="14" t="n"/>
    </row>
    <row r="113">
      <c r="A113" s="14" t="n"/>
      <c r="B113" s="80" t="n"/>
      <c r="C113" s="14" t="n"/>
      <c r="F113" s="14" t="n"/>
      <c r="G113" s="80" t="n"/>
      <c r="H113" s="14" t="n"/>
    </row>
    <row r="114">
      <c r="A114" s="14" t="n"/>
      <c r="B114" s="80" t="n"/>
      <c r="C114" s="14" t="n"/>
      <c r="F114" s="14" t="n"/>
      <c r="G114" s="80" t="n"/>
      <c r="H114" s="14" t="n"/>
    </row>
    <row r="115">
      <c r="A115" s="14" t="n"/>
      <c r="B115" s="80" t="n"/>
      <c r="C115" s="14" t="n"/>
      <c r="F115" s="14" t="n"/>
      <c r="G115" s="80" t="n"/>
      <c r="H115" s="14" t="n"/>
    </row>
    <row r="116">
      <c r="A116" s="14" t="n"/>
      <c r="B116" s="80" t="n"/>
      <c r="C116" s="14" t="n"/>
      <c r="F116" s="14" t="n"/>
      <c r="G116" s="80" t="n"/>
      <c r="H116" s="14" t="n"/>
    </row>
    <row r="117">
      <c r="A117" s="14" t="n"/>
      <c r="B117" s="80" t="n"/>
      <c r="C117" s="14" t="n"/>
      <c r="F117" s="14" t="n"/>
      <c r="G117" s="80" t="n"/>
      <c r="H117" s="14" t="n"/>
    </row>
    <row r="118">
      <c r="A118" s="14" t="n"/>
      <c r="B118" s="80" t="n"/>
      <c r="C118" s="14" t="n"/>
      <c r="F118" s="14" t="n"/>
      <c r="G118" s="80" t="n"/>
      <c r="H118" s="14" t="n"/>
    </row>
    <row r="119">
      <c r="A119" s="14" t="n"/>
      <c r="B119" s="80" t="n"/>
      <c r="C119" s="14" t="n"/>
      <c r="F119" s="14" t="n"/>
      <c r="G119" s="80" t="n"/>
      <c r="H119" s="14" t="n"/>
    </row>
    <row r="120">
      <c r="A120" s="14" t="n"/>
      <c r="B120" s="80" t="n"/>
      <c r="C120" s="14" t="n"/>
      <c r="F120" s="14" t="n"/>
      <c r="G120" s="80" t="n"/>
      <c r="H120" s="14" t="n"/>
    </row>
    <row r="121">
      <c r="A121" s="14" t="n"/>
      <c r="B121" s="80" t="n"/>
      <c r="C121" s="14" t="n"/>
      <c r="F121" s="14" t="n"/>
      <c r="G121" s="80" t="n"/>
      <c r="H121" s="14" t="n"/>
    </row>
    <row r="122">
      <c r="A122" s="14" t="n"/>
      <c r="B122" s="80" t="n"/>
      <c r="C122" s="14" t="n"/>
      <c r="F122" s="14" t="n"/>
      <c r="G122" s="80" t="n"/>
      <c r="H122" s="14" t="n"/>
    </row>
    <row r="123">
      <c r="A123" s="14" t="n"/>
      <c r="B123" s="80" t="n"/>
      <c r="C123" s="14" t="n"/>
      <c r="F123" s="14" t="n"/>
      <c r="G123" s="80" t="n"/>
      <c r="H123" s="14" t="n"/>
    </row>
    <row r="124">
      <c r="A124" s="14" t="n"/>
      <c r="B124" s="80" t="n"/>
      <c r="C124" s="14" t="n"/>
      <c r="F124" s="14" t="n"/>
      <c r="G124" s="80" t="n"/>
      <c r="H124" s="14" t="n"/>
    </row>
    <row r="125">
      <c r="A125" s="14" t="n"/>
      <c r="B125" s="80" t="n"/>
      <c r="C125" s="14" t="n"/>
      <c r="F125" s="14" t="n"/>
      <c r="G125" s="80" t="n"/>
      <c r="H125" s="14" t="n"/>
    </row>
    <row r="126">
      <c r="A126" s="14" t="n"/>
      <c r="B126" s="80" t="n"/>
      <c r="C126" s="14" t="n"/>
      <c r="F126" s="14" t="n"/>
      <c r="G126" s="80" t="n"/>
      <c r="H126" s="14" t="n"/>
    </row>
    <row r="127">
      <c r="A127" s="14" t="n"/>
      <c r="B127" s="80" t="n"/>
      <c r="C127" s="14" t="n"/>
      <c r="F127" s="14" t="n"/>
      <c r="G127" s="80" t="n"/>
      <c r="H127" s="14" t="n"/>
    </row>
    <row r="128">
      <c r="A128" s="14" t="n"/>
      <c r="B128" s="80" t="n"/>
      <c r="C128" s="14" t="n"/>
      <c r="F128" s="14" t="n"/>
      <c r="G128" s="80" t="n"/>
      <c r="H128" s="14" t="n"/>
    </row>
    <row r="129">
      <c r="A129" s="14" t="n"/>
      <c r="B129" s="80" t="n"/>
      <c r="C129" s="14" t="n"/>
      <c r="F129" s="14" t="n"/>
      <c r="G129" s="80" t="n"/>
      <c r="H129" s="14" t="n"/>
    </row>
  </sheetData>
  <mergeCells count="22">
    <mergeCell ref="A41:F41"/>
    <mergeCell ref="A16:F16"/>
    <mergeCell ref="C48:F48"/>
    <mergeCell ref="B59:F59"/>
    <mergeCell ref="A12:F12"/>
    <mergeCell ref="A50:F50"/>
    <mergeCell ref="B58:F58"/>
    <mergeCell ref="A61:H61"/>
    <mergeCell ref="A57:F57"/>
    <mergeCell ref="A2:F2"/>
    <mergeCell ref="A22:F22"/>
    <mergeCell ref="A35:F35"/>
    <mergeCell ref="C42:F42"/>
    <mergeCell ref="C45:F45"/>
    <mergeCell ref="C47:F47"/>
    <mergeCell ref="C44:F44"/>
    <mergeCell ref="A24:F24"/>
    <mergeCell ref="A62:H62"/>
    <mergeCell ref="A1:F1"/>
    <mergeCell ref="C43:F43"/>
    <mergeCell ref="C46:F46"/>
    <mergeCell ref="A7:F7"/>
  </mergeCells>
  <dataValidations count="1">
    <dataValidation sqref="B4" showDropDown="0" showInputMessage="0" showErrorMessage="0" allowBlank="0" type="list">
      <formula1>"1,2,3,4,5,6,7,8,9,10,11,12"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D32"/>
    <outlinePr summaryBelow="1" summaryRight="1"/>
    <pageSetUpPr/>
  </sheetPr>
  <dimension ref="A1:O1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1" customWidth="1" min="4" max="4"/>
    <col width="11" customWidth="1" min="5" max="5"/>
    <col width="28" customWidth="1" min="6" max="6"/>
    <col width="12" customWidth="1" min="7" max="7"/>
    <col width="15" customWidth="1" min="8" max="8"/>
    <col hidden="1" width="13" customWidth="1" min="14" max="14"/>
    <col hidden="1" width="13" customWidth="1" min="15" max="15"/>
  </cols>
  <sheetData>
    <row r="1" ht="30" customHeight="1">
      <c r="A1" s="2" t="inlineStr">
        <is>
          <t>BÁO CÁO TIẾN ĐỘ THEO TUẦN</t>
        </is>
      </c>
      <c r="B1" s="3" t="n"/>
      <c r="C1" s="3" t="n"/>
      <c r="D1" s="3" t="n"/>
      <c r="E1" s="3" t="n"/>
      <c r="F1" s="3" t="n"/>
    </row>
    <row r="2">
      <c r="A2" s="22" t="inlineStr">
        <is>
          <t>Chỉ số "trong tuần" lọc theo kỳ đã chọn; số Tổng quan là thời điểm hiện tại. Mục tiêu nhập tại sheet 04_Mục_tiêu (mỗi kỳ một dòng).</t>
        </is>
      </c>
      <c r="B2" s="5" t="n"/>
      <c r="C2" s="5" t="n"/>
      <c r="D2" s="5" t="n"/>
      <c r="E2" s="5" t="n"/>
      <c r="F2" s="5" t="n"/>
    </row>
    <row r="4">
      <c r="A4" s="23" t="inlineStr">
        <is>
          <t>Tháng</t>
        </is>
      </c>
      <c r="B4" s="24" t="n">
        <v>8</v>
      </c>
      <c r="C4" s="23" t="inlineStr">
        <is>
          <t>Tuần</t>
        </is>
      </c>
      <c r="D4" s="24" t="n">
        <v>2</v>
      </c>
      <c r="E4" s="23" t="inlineStr">
        <is>
          <t>Năm</t>
        </is>
      </c>
      <c r="F4" s="24" t="n">
        <v>2026</v>
      </c>
      <c r="N4">
        <f>DATE(F4,B4,(D4-1)*7+1)</f>
        <v/>
      </c>
      <c r="O4">
        <f>MIN(EOMONTH(DATE(F4,B4,1),0),DATE(F4,B4,D4*7))</f>
        <v/>
      </c>
    </row>
    <row r="5">
      <c r="A5" s="81" t="inlineStr">
        <is>
          <t>Từ ngày</t>
        </is>
      </c>
      <c r="B5" s="82">
        <f>N4</f>
        <v/>
      </c>
      <c r="C5" s="81" t="inlineStr">
        <is>
          <t>Đến ngày</t>
        </is>
      </c>
      <c r="D5" s="83">
        <f>O4</f>
        <v/>
      </c>
      <c r="E5" s="5" t="n"/>
      <c r="F5" s="84">
        <f>IF(ISERROR('z_Trang'!$B$1),"⚠ Chưa kết nối","✔ Đã kết nối")</f>
        <v/>
      </c>
    </row>
    <row r="7" ht="22" customHeight="1">
      <c r="A7" s="26" t="inlineStr">
        <is>
          <t>KPI / CHỈ SỐ</t>
        </is>
      </c>
      <c r="B7" s="27" t="inlineStr">
        <is>
          <t>Mục tiêu kỳ</t>
        </is>
      </c>
      <c r="C7" s="27" t="inlineStr">
        <is>
          <t>Kết quả</t>
        </is>
      </c>
      <c r="D7" s="27" t="inlineStr">
        <is>
          <t>Tỷ lệ đạt</t>
        </is>
      </c>
      <c r="E7" s="27" t="inlineStr">
        <is>
          <t>Đạt KPI?</t>
        </is>
      </c>
      <c r="F7" s="27" t="inlineStr">
        <is>
          <t>Ghi chú</t>
        </is>
      </c>
    </row>
    <row r="8" ht="19" customHeight="1">
      <c r="A8" s="28" t="inlineStr">
        <is>
          <t>I. KIỂM TRA WEBSITE</t>
        </is>
      </c>
      <c r="B8" s="29" t="n"/>
      <c r="C8" s="29" t="n"/>
      <c r="D8" s="29" t="n"/>
      <c r="E8" s="29" t="n"/>
      <c r="F8" s="29" t="n"/>
    </row>
    <row r="9">
      <c r="A9" s="30" t="inlineStr">
        <is>
          <t>1. Trang hoàn thành</t>
        </is>
      </c>
      <c r="B9" s="31">
        <f>IFERROR(INDEX('04_Mục_tiêu'!$D$20:$N$79,MATCH($B$4*10+$D$4,'04_Mục_tiêu'!$C$20:$C$79,0),1),"")</f>
        <v/>
      </c>
      <c r="C9" s="32">
        <f>'z_Trang'!$D$1</f>
        <v/>
      </c>
      <c r="D9" s="33">
        <f>IFERROR(C9/B9,"")</f>
        <v/>
      </c>
      <c r="E9" s="34">
        <f>IF(ISNUMBER(B9),IF(C9&gt;=B9,"Đạt","Chưa đạt"),"Theo dõi")</f>
        <v/>
      </c>
      <c r="F9" s="35" t="inlineStr">
        <is>
          <t>Hoàn thành / tổng số trang</t>
        </is>
      </c>
    </row>
    <row r="10">
      <c r="A10" s="36" t="inlineStr">
        <is>
          <t>2. Tính năng hoàn thành</t>
        </is>
      </c>
      <c r="B10" s="37">
        <f>IFERROR(INDEX('04_Mục_tiêu'!$D$20:$N$79,MATCH($B$4*10+$D$4,'04_Mục_tiêu'!$C$20:$C$79,0),2),"")</f>
        <v/>
      </c>
      <c r="C10" s="38">
        <f>'z_TinhNang'!$D$1</f>
        <v/>
      </c>
      <c r="D10" s="39">
        <f>IFERROR(C10/B10,"")</f>
        <v/>
      </c>
      <c r="E10" s="40">
        <f>IF(ISNUMBER(B10),IF(C10&gt;=B10,"Đạt","Chưa đạt"),"Theo dõi")</f>
        <v/>
      </c>
      <c r="F10" s="41" t="inlineStr">
        <is>
          <t>Hoàn thành / 88 tính năng</t>
        </is>
      </c>
    </row>
    <row r="11">
      <c r="A11" s="30" t="inlineStr">
        <is>
          <t>3. Công việc hoàn thành trong tuần</t>
        </is>
      </c>
      <c r="B11" s="31">
        <f>IFERROR(INDEX('04_Mục_tiêu'!$D$20:$N$79,MATCH($B$4*10+$D$4,'04_Mục_tiêu'!$C$20:$C$79,0),3),"")</f>
        <v/>
      </c>
      <c r="C11" s="32">
        <f>COUNTIFS('z_CV'!$B:$B,"&gt;="&amp;$N$4,'z_CV'!$B:$B,"&lt;="&amp;$O$4,'z_CV'!$O:$O,"Hoàn thành")</f>
        <v/>
      </c>
      <c r="D11" s="33">
        <f>IFERROR(C11/B11,"")</f>
        <v/>
      </c>
      <c r="E11" s="34">
        <f>IF(ISNUMBER(B11),IF(C11&gt;=B11,"Đạt","Chưa đạt"),"Theo dõi")</f>
        <v/>
      </c>
      <c r="F11" s="35" t="inlineStr">
        <is>
          <t>Nhật ký công việc theo ngày</t>
        </is>
      </c>
    </row>
    <row r="12">
      <c r="A12" s="36" t="inlineStr">
        <is>
          <t>4. Lỗi phát hiện trong tuần</t>
        </is>
      </c>
      <c r="B12" s="37">
        <f>IFERROR(INDEX('04_Mục_tiêu'!$D$20:$N$79,MATCH($B$4*10+$D$4,'04_Mục_tiêu'!$C$20:$C$79,0),4),"")</f>
        <v/>
      </c>
      <c r="C12" s="38">
        <f>COUNTIFS('z_Loi'!$Q:$Q,"&gt;="&amp;$N$4,'z_Loi'!$Q:$Q,"&lt;="&amp;$O$4)</f>
        <v/>
      </c>
      <c r="D12" s="39">
        <f>IFERROR(C12/B12,"")</f>
        <v/>
      </c>
      <c r="E12" s="40">
        <f>IF(ISNUMBER(B12),IF(C12&gt;=B12,"Đạt","Chưa đạt"),"Theo dõi")</f>
        <v/>
      </c>
      <c r="F12" s="41" t="inlineStr">
        <is>
          <t>Theo Ngày phát hiện (05_Lỗi_Tester)</t>
        </is>
      </c>
    </row>
    <row r="13" ht="19" customHeight="1">
      <c r="A13" s="28" t="inlineStr">
        <is>
          <t>II. HOÀN THIỆN WEBSITE</t>
        </is>
      </c>
      <c r="B13" s="29" t="n"/>
      <c r="C13" s="29" t="n"/>
      <c r="D13" s="29" t="n"/>
      <c r="E13" s="29" t="n"/>
      <c r="F13" s="29" t="n"/>
    </row>
    <row r="14">
      <c r="A14" s="30" t="inlineStr">
        <is>
          <t>1. Lỗi đã xử lý (lũy kế)</t>
        </is>
      </c>
      <c r="B14" s="31">
        <f>IFERROR(INDEX('04_Mục_tiêu'!$D$20:$N$79,MATCH($B$4*10+$D$4,'04_Mục_tiêu'!$C$20:$C$79,0),5),"")</f>
        <v/>
      </c>
      <c r="C14" s="32">
        <f>(COUNTIF('z_Loi'!$U:$U,"Fixed")+COUNTIF('z_Loi'!$U:$U,"Verified")+COUNTIF('z_Loi'!$U:$U,"Closed"))</f>
        <v/>
      </c>
      <c r="D14" s="33">
        <f>IFERROR(C14/B14,"")</f>
        <v/>
      </c>
      <c r="E14" s="34">
        <f>IF(ISNUMBER(B14),IF(C14&gt;=B14,"Đạt","Chưa đạt"),"Theo dõi")</f>
        <v/>
      </c>
      <c r="F14" s="35" t="inlineStr">
        <is>
          <t>Fixed + Verified + Closed</t>
        </is>
      </c>
    </row>
    <row r="15">
      <c r="A15" s="36" t="inlineStr">
        <is>
          <t>2. Số Trang đã xử lý</t>
        </is>
      </c>
      <c r="B15" s="37">
        <f>IFERROR(INDEX('04_Mục_tiêu'!$D$20:$N$79,MATCH($B$4*10+$D$4,'04_Mục_tiêu'!$C$20:$C$79,0),6),"")</f>
        <v/>
      </c>
      <c r="C15" s="38">
        <f>'z_Trang'!$B$1-'z_Trang'!$L$1</f>
        <v/>
      </c>
      <c r="D15" s="39">
        <f>IFERROR(C15/B15,"")</f>
        <v/>
      </c>
      <c r="E15" s="40">
        <f>IF(ISNUMBER(B15),IF(C15&gt;=B15,"Đạt","Chưa đạt"),"Theo dõi")</f>
        <v/>
      </c>
      <c r="F15" s="41" t="inlineStr">
        <is>
          <t>Đã kiểm thử = Tổng − Chưa kiểm tra</t>
        </is>
      </c>
    </row>
    <row r="16">
      <c r="A16" s="30" t="inlineStr">
        <is>
          <t>3. Số Tính năng đã xử lý</t>
        </is>
      </c>
      <c r="B16" s="31">
        <f>IFERROR(INDEX('04_Mục_tiêu'!$D$20:$N$79,MATCH($B$4*10+$D$4,'04_Mục_tiêu'!$C$20:$C$79,0),7),"")</f>
        <v/>
      </c>
      <c r="C16" s="32">
        <f>'z_TinhNang'!$B$1-'z_TinhNang'!$L$1</f>
        <v/>
      </c>
      <c r="D16" s="33">
        <f>IFERROR(C16/B16,"")</f>
        <v/>
      </c>
      <c r="E16" s="34">
        <f>IF(ISNUMBER(B16),IF(C16&gt;=B16,"Đạt","Chưa đạt"),"Theo dõi")</f>
        <v/>
      </c>
      <c r="F16" s="35" t="inlineStr">
        <is>
          <t>Đã kiểm thử = Tổng − Chưa kiểm tra</t>
        </is>
      </c>
    </row>
    <row r="17" ht="19" customHeight="1">
      <c r="A17" s="28" t="inlineStr">
        <is>
          <t>III. DATABASE (trong tuần)</t>
        </is>
      </c>
      <c r="B17" s="29" t="n"/>
      <c r="C17" s="29" t="n"/>
      <c r="D17" s="29" t="n"/>
      <c r="E17" s="29" t="n"/>
      <c r="F17" s="29" t="n"/>
    </row>
    <row r="18">
      <c r="A18" s="30" t="inlineStr">
        <is>
          <t>1. DB Doanh nghiệp đã thêm</t>
        </is>
      </c>
      <c r="B18" s="31">
        <f>IFERROR(INDEX('04_Mục_tiêu'!$D$20:$N$79,MATCH($B$4*10+$D$4,'04_Mục_tiêu'!$C$20:$C$79,0),8),"")</f>
        <v/>
      </c>
      <c r="C18" s="32">
        <f>COUNTIFS('z_DB_DN'!$K:$K,"&gt;="&amp;$N$4,'z_DB_DN'!$K:$K,"&lt;="&amp;$O$4)</f>
        <v/>
      </c>
      <c r="D18" s="33">
        <f>IFERROR(C18/B18,"")</f>
        <v/>
      </c>
      <c r="E18" s="34">
        <f>IF(ISNUMBER(B18),IF(C18&gt;=B18,"Đạt","Chưa đạt"),"Theo dõi")</f>
        <v/>
      </c>
      <c r="F18" s="35" t="inlineStr">
        <is>
          <t>Theo Ngày Đăng/Tạo</t>
        </is>
      </c>
    </row>
    <row r="19">
      <c r="A19" s="36" t="inlineStr">
        <is>
          <t>2. DB HR đã thêm</t>
        </is>
      </c>
      <c r="B19" s="37">
        <f>IFERROR(INDEX('04_Mục_tiêu'!$D$20:$N$79,MATCH($B$4*10+$D$4,'04_Mục_tiêu'!$C$20:$C$79,0),9),"")</f>
        <v/>
      </c>
      <c r="C19" s="38">
        <f>COUNTIFS('z_DB_HR'!$B:$B,"&gt;="&amp;$N$4,'z_DB_HR'!$B:$B,"&lt;="&amp;$O$4)</f>
        <v/>
      </c>
      <c r="D19" s="39">
        <f>IFERROR(C19/B19,"")</f>
        <v/>
      </c>
      <c r="E19" s="40">
        <f>IF(ISNUMBER(B19),IF(C19&gt;=B19,"Đạt","Chưa đạt"),"Theo dõi")</f>
        <v/>
      </c>
      <c r="F19" s="41" t="inlineStr">
        <is>
          <t>Theo Ngày Đăng/Tạo</t>
        </is>
      </c>
    </row>
    <row r="20">
      <c r="A20" s="30" t="inlineStr">
        <is>
          <t>3. DB Ứng viên đã thêm</t>
        </is>
      </c>
      <c r="B20" s="31">
        <f>IFERROR(INDEX('04_Mục_tiêu'!$D$20:$N$79,MATCH($B$4*10+$D$4,'04_Mục_tiêu'!$C$20:$C$79,0),10),"")</f>
        <v/>
      </c>
      <c r="C20" s="32">
        <f>COUNTA('z_DB_UV'!$A:$A)</f>
        <v/>
      </c>
      <c r="D20" s="33">
        <f>IFERROR(C20/B20,"")</f>
        <v/>
      </c>
      <c r="E20" s="34">
        <f>IF(ISNUMBER(B20),IF(C20&gt;=B20,"Đạt","Chưa đạt"),"Theo dõi")</f>
        <v/>
      </c>
      <c r="F20" s="35" t="inlineStr">
        <is>
          <t>Theo tổng (chưa có cột ngày nhập)</t>
        </is>
      </c>
    </row>
    <row r="21">
      <c r="A21" s="36" t="inlineStr">
        <is>
          <t>4. Tin tuyển dụng đã đăng</t>
        </is>
      </c>
      <c r="B21" s="37">
        <f>IFERROR(INDEX('04_Mục_tiêu'!$D$20:$N$79,MATCH($B$4*10+$D$4,'04_Mục_tiêu'!$C$20:$C$79,0),11),"")</f>
        <v/>
      </c>
      <c r="C21" s="38">
        <f>COUNTIFS('z_DB_Tin'!$B:$B,"&gt;="&amp;$N$4,'z_DB_Tin'!$B:$B,"&lt;="&amp;$O$4)</f>
        <v/>
      </c>
      <c r="D21" s="39">
        <f>IFERROR(C21/B21,"")</f>
        <v/>
      </c>
      <c r="E21" s="40">
        <f>IF(ISNUMBER(B21),IF(C21&gt;=B21,"Đạt","Chưa đạt"),"Theo dõi")</f>
        <v/>
      </c>
      <c r="F21" s="41" t="inlineStr">
        <is>
          <t>Theo Ngày viết</t>
        </is>
      </c>
    </row>
    <row r="23" ht="22" customHeight="1">
      <c r="A23" s="11" t="inlineStr">
        <is>
          <t>TỔNG QUAN HIỆN TẠI (thời điểm xem)</t>
        </is>
      </c>
      <c r="B23" s="7" t="n"/>
      <c r="C23" s="7" t="n"/>
      <c r="D23" s="7" t="n"/>
      <c r="E23" s="7" t="n"/>
      <c r="F23" s="7" t="n"/>
    </row>
    <row r="24">
      <c r="A24" s="42" t="inlineStr">
        <is>
          <t>Chỉ số</t>
        </is>
      </c>
      <c r="B24" s="43" t="inlineStr">
        <is>
          <t>Số lượng</t>
        </is>
      </c>
      <c r="C24" s="43" t="inlineStr">
        <is>
          <t>Tổng</t>
        </is>
      </c>
      <c r="D24" s="43" t="inlineStr">
        <is>
          <t>Tỷ lệ</t>
        </is>
      </c>
    </row>
    <row r="25" ht="19" customHeight="1">
      <c r="A25" s="28" t="inlineStr">
        <is>
          <t>I. KIỂM TRA WEBSITE</t>
        </is>
      </c>
      <c r="B25" s="29" t="n"/>
      <c r="C25" s="29" t="n"/>
      <c r="D25" s="29" t="n"/>
      <c r="E25" s="29" t="n"/>
      <c r="F25" s="29" t="n"/>
    </row>
    <row r="26">
      <c r="A26" s="44" t="inlineStr">
        <is>
          <t>Trang hoàn thành</t>
        </is>
      </c>
      <c r="B26" s="45">
        <f>'z_Trang'!$D$1</f>
        <v/>
      </c>
      <c r="C26" s="46">
        <f>'z_Trang'!$B$1</f>
        <v/>
      </c>
      <c r="D26" s="47">
        <f>'z_Trang'!$F$1</f>
        <v/>
      </c>
    </row>
    <row r="27">
      <c r="A27" s="48" t="inlineStr">
        <is>
          <t>Trang đang kiểm tra</t>
        </is>
      </c>
      <c r="B27" s="38">
        <f>'z_Trang'!$H$1</f>
        <v/>
      </c>
      <c r="C27" s="49">
        <f>'z_Trang'!$B$1</f>
        <v/>
      </c>
      <c r="D27" s="50">
        <f>'z_Trang'!$H$1/'z_Trang'!$B$1</f>
        <v/>
      </c>
    </row>
    <row r="28">
      <c r="A28" s="51" t="inlineStr">
        <is>
          <t>Trang cần kiểm tra lại</t>
        </is>
      </c>
      <c r="B28" s="32">
        <f>'z_Trang'!$J$1</f>
        <v/>
      </c>
      <c r="C28" s="52">
        <f>'z_Trang'!$B$1</f>
        <v/>
      </c>
      <c r="D28" s="53">
        <f>'z_Trang'!$J$1/'z_Trang'!$B$1</f>
        <v/>
      </c>
    </row>
    <row r="29">
      <c r="A29" s="48" t="inlineStr">
        <is>
          <t>Trang chưa kiểm tra</t>
        </is>
      </c>
      <c r="B29" s="38">
        <f>'z_Trang'!$L$1</f>
        <v/>
      </c>
      <c r="C29" s="49">
        <f>'z_Trang'!$B$1</f>
        <v/>
      </c>
      <c r="D29" s="50">
        <f>'z_Trang'!$L$1/'z_Trang'!$B$1</f>
        <v/>
      </c>
    </row>
    <row r="30">
      <c r="A30" s="44" t="inlineStr">
        <is>
          <t>Tính năng hoàn thành</t>
        </is>
      </c>
      <c r="B30" s="45">
        <f>'z_TinhNang'!$D$1</f>
        <v/>
      </c>
      <c r="C30" s="46">
        <f>'z_TinhNang'!$B$1</f>
        <v/>
      </c>
      <c r="D30" s="47">
        <f>'z_TinhNang'!$F$1</f>
        <v/>
      </c>
    </row>
    <row r="31">
      <c r="A31" s="48" t="inlineStr">
        <is>
          <t>Tính năng cần kiểm tra lại</t>
        </is>
      </c>
      <c r="B31" s="38">
        <f>'z_TinhNang'!$J$1</f>
        <v/>
      </c>
      <c r="C31" s="49">
        <f>'z_TinhNang'!$B$1</f>
        <v/>
      </c>
      <c r="D31" s="50">
        <f>'z_TinhNang'!$J$1/'z_TinhNang'!$B$1</f>
        <v/>
      </c>
    </row>
    <row r="32">
      <c r="A32" s="51" t="inlineStr">
        <is>
          <t>Tính năng chưa kiểm tra</t>
        </is>
      </c>
      <c r="B32" s="32">
        <f>'z_TinhNang'!$L$1</f>
        <v/>
      </c>
      <c r="C32" s="52">
        <f>'z_TinhNang'!$B$1</f>
        <v/>
      </c>
      <c r="D32" s="53">
        <f>'z_TinhNang'!$L$1/'z_TinhNang'!$B$1</f>
        <v/>
      </c>
    </row>
    <row r="33">
      <c r="A33" s="48" t="inlineStr">
        <is>
          <t>Tổng lỗi ghi nhận</t>
        </is>
      </c>
      <c r="B33" s="38">
        <f>COUNTA('z_Loi'!$E:$E)-1</f>
        <v/>
      </c>
      <c r="C33" s="54" t="n"/>
      <c r="D33" s="40" t="n"/>
    </row>
    <row r="34">
      <c r="A34" s="55" t="inlineStr">
        <is>
          <t>Lỗi đang mở (Open + Chưa gửi Dev)</t>
        </is>
      </c>
      <c r="B34" s="56">
        <f>(COUNTIF('z_Loi'!$U:$U,"Open")+COUNTIF('z_Loi'!$U:$U,"Chưa gửi Dev"))</f>
        <v/>
      </c>
      <c r="C34" s="57" t="n"/>
      <c r="D34" s="58" t="n"/>
    </row>
    <row r="35">
      <c r="A35" s="55" t="inlineStr">
        <is>
          <t>Lỗi Critical/High đang mở</t>
        </is>
      </c>
      <c r="B35" s="56">
        <f>(COUNTIFS('z_Loi'!$U:$U,"Open",'z_Loi'!$L:$L,"Critical")+COUNTIFS('z_Loi'!$U:$U,"Open",'z_Loi'!$L:$L,"High")+COUNTIFS('z_Loi'!$U:$U,"Chưa gửi Dev",'z_Loi'!$L:$L,"Critical")+COUNTIFS('z_Loi'!$U:$U,"Chưa gửi Dev",'z_Loi'!$L:$L,"High"))</f>
        <v/>
      </c>
      <c r="C35" s="57" t="n"/>
      <c r="D35" s="58" t="n"/>
    </row>
    <row r="36" ht="19" customHeight="1">
      <c r="A36" s="28" t="inlineStr">
        <is>
          <t>II. DATABASE (tổng đã thêm)</t>
        </is>
      </c>
      <c r="B36" s="29" t="n"/>
      <c r="C36" s="29" t="n"/>
      <c r="D36" s="29" t="n"/>
      <c r="E36" s="29" t="n"/>
      <c r="F36" s="29" t="n"/>
    </row>
    <row r="37">
      <c r="A37" s="51" t="inlineStr">
        <is>
          <t>DB Doanh nghiệp</t>
        </is>
      </c>
      <c r="B37" s="32">
        <f>COUNTA('z_DB_DN'!$A:$A)</f>
        <v/>
      </c>
      <c r="C37" s="59" t="n"/>
      <c r="D37" s="34" t="n"/>
    </row>
    <row r="38">
      <c r="A38" s="48" t="inlineStr">
        <is>
          <t>DB HR</t>
        </is>
      </c>
      <c r="B38" s="38">
        <f>COUNTA('z_DB_HR'!$A:$A)</f>
        <v/>
      </c>
      <c r="C38" s="54" t="n"/>
      <c r="D38" s="40" t="n"/>
    </row>
    <row r="39">
      <c r="A39" s="51" t="inlineStr">
        <is>
          <t>DB Ứng viên</t>
        </is>
      </c>
      <c r="B39" s="32">
        <f>COUNTA('z_DB_UV'!$A:$A)</f>
        <v/>
      </c>
      <c r="C39" s="59" t="n"/>
      <c r="D39" s="34" t="n"/>
    </row>
    <row r="40">
      <c r="A40" s="48" t="inlineStr">
        <is>
          <t>Tin tuyển dụng đã đăng</t>
        </is>
      </c>
      <c r="B40" s="38">
        <f>COUNTA('z_DB_Tin'!$A:$A)</f>
        <v/>
      </c>
      <c r="C40" s="54" t="n"/>
      <c r="D40" s="40" t="n"/>
    </row>
    <row r="42" ht="22" customHeight="1">
      <c r="A42" s="11" t="inlineStr">
        <is>
          <t>TÌNH TRẠNG XỬ LÝ LỖI (toàn bộ)</t>
        </is>
      </c>
      <c r="B42" s="7" t="n"/>
      <c r="C42" s="7" t="n"/>
      <c r="D42" s="7" t="n"/>
      <c r="E42" s="7" t="n"/>
      <c r="F42" s="7" t="n"/>
    </row>
    <row r="43">
      <c r="A43" s="42" t="inlineStr">
        <is>
          <t>Trạng thái</t>
        </is>
      </c>
      <c r="B43" s="43" t="inlineStr">
        <is>
          <t>Số lỗi</t>
        </is>
      </c>
      <c r="C43" s="42" t="inlineStr">
        <is>
          <t>Ý nghĩa</t>
        </is>
      </c>
      <c r="D43" s="60" t="n"/>
      <c r="E43" s="60" t="n"/>
      <c r="F43" s="60" t="n"/>
    </row>
    <row r="44">
      <c r="A44" s="61" t="inlineStr">
        <is>
          <t>Open</t>
        </is>
      </c>
      <c r="B44" s="32">
        <f>COUNTIF('z_Loi'!$U:$U,"Open")</f>
        <v/>
      </c>
      <c r="C44" s="62" t="inlineStr">
        <is>
          <t>Lỗi đang mở, đã ghi nhận</t>
        </is>
      </c>
      <c r="D44" s="63" t="n"/>
      <c r="E44" s="63" t="n"/>
      <c r="F44" s="63" t="n"/>
    </row>
    <row r="45">
      <c r="A45" s="64" t="inlineStr">
        <is>
          <t>Chưa gửi Dev</t>
        </is>
      </c>
      <c r="B45" s="38">
        <f>COUNTIF('z_Loi'!$U:$U,"Chưa gửi Dev")</f>
        <v/>
      </c>
      <c r="C45" s="65" t="inlineStr">
        <is>
          <t>Chưa chuyển Dev xử lý</t>
        </is>
      </c>
      <c r="D45" s="66" t="n"/>
      <c r="E45" s="66" t="n"/>
      <c r="F45" s="66" t="n"/>
    </row>
    <row r="46">
      <c r="A46" s="67" t="inlineStr">
        <is>
          <t>Fixed</t>
        </is>
      </c>
      <c r="B46" s="32">
        <f>COUNTIF('z_Loi'!$U:$U,"Fixed")</f>
        <v/>
      </c>
      <c r="C46" s="62" t="inlineStr">
        <is>
          <t>Dev báo đã sửa</t>
        </is>
      </c>
      <c r="D46" s="63" t="n"/>
      <c r="E46" s="63" t="n"/>
      <c r="F46" s="63" t="n"/>
    </row>
    <row r="47">
      <c r="A47" s="68" t="inlineStr">
        <is>
          <t>Verified</t>
        </is>
      </c>
      <c r="B47" s="38">
        <f>COUNTIF('z_Loi'!$U:$U,"Verified")</f>
        <v/>
      </c>
      <c r="C47" s="65" t="inlineStr">
        <is>
          <t>Đã retest đạt</t>
        </is>
      </c>
      <c r="D47" s="66" t="n"/>
      <c r="E47" s="66" t="n"/>
      <c r="F47" s="66" t="n"/>
    </row>
    <row r="48">
      <c r="A48" s="69" t="inlineStr">
        <is>
          <t>Closed</t>
        </is>
      </c>
      <c r="B48" s="32">
        <f>COUNTIF('z_Loi'!$U:$U,"Closed")</f>
        <v/>
      </c>
      <c r="C48" s="62" t="inlineStr">
        <is>
          <t>Đã đóng</t>
        </is>
      </c>
      <c r="D48" s="63" t="n"/>
      <c r="E48" s="63" t="n"/>
      <c r="F48" s="63" t="n"/>
    </row>
    <row r="49">
      <c r="A49" s="70" t="inlineStr">
        <is>
          <t>Deferred</t>
        </is>
      </c>
      <c r="B49" s="38">
        <f>COUNTIF('z_Loi'!$U:$U,"Deferred")</f>
        <v/>
      </c>
      <c r="C49" s="65" t="inlineStr">
        <is>
          <t>Tạm hoãn / không sửa</t>
        </is>
      </c>
      <c r="D49" s="66" t="n"/>
      <c r="E49" s="66" t="n"/>
      <c r="F49" s="66" t="n"/>
    </row>
    <row r="51" ht="22" customHeight="1">
      <c r="A51" s="11" t="inlineStr">
        <is>
          <t>PHÂN BỐ LỖI PHÁT HIỆN TRONG TUẦN</t>
        </is>
      </c>
      <c r="B51" s="7" t="n"/>
      <c r="C51" s="7" t="n"/>
      <c r="D51" s="7" t="n"/>
      <c r="E51" s="7" t="n"/>
      <c r="F51" s="7" t="n"/>
    </row>
    <row r="52">
      <c r="A52" s="42" t="inlineStr">
        <is>
          <t>Theo mức độ</t>
        </is>
      </c>
      <c r="B52" s="43" t="inlineStr">
        <is>
          <t>Số lỗi</t>
        </is>
      </c>
      <c r="D52" s="42" t="inlineStr">
        <is>
          <t>Theo thiết bị</t>
        </is>
      </c>
      <c r="E52" s="43" t="inlineStr">
        <is>
          <t>Số lỗi</t>
        </is>
      </c>
    </row>
    <row r="53">
      <c r="A53" s="61" t="inlineStr">
        <is>
          <t>Critical</t>
        </is>
      </c>
      <c r="B53" s="32">
        <f>COUNTIFS('z_Loi'!$Q:$Q,"&gt;="&amp;$N$4,'z_Loi'!$Q:$Q,"&lt;="&amp;$O$4,'z_Loi'!$L:$L,"Critical")</f>
        <v/>
      </c>
      <c r="D53" s="51" t="inlineStr">
        <is>
          <t>Desktop</t>
        </is>
      </c>
      <c r="E53" s="32">
        <f>COUNTIFS('z_Loi'!$Q:$Q,"&gt;="&amp;$N$4,'z_Loi'!$Q:$Q,"&lt;="&amp;$O$4,'z_Loi'!$M:$M,"*Desktop*")</f>
        <v/>
      </c>
    </row>
    <row r="54">
      <c r="A54" s="71" t="inlineStr">
        <is>
          <t>High</t>
        </is>
      </c>
      <c r="B54" s="38">
        <f>COUNTIFS('z_Loi'!$Q:$Q,"&gt;="&amp;$N$4,'z_Loi'!$Q:$Q,"&lt;="&amp;$O$4,'z_Loi'!$L:$L,"High")</f>
        <v/>
      </c>
      <c r="D54" s="48" t="inlineStr">
        <is>
          <t>Mobile</t>
        </is>
      </c>
      <c r="E54" s="38">
        <f>COUNTIFS('z_Loi'!$Q:$Q,"&gt;="&amp;$N$4,'z_Loi'!$Q:$Q,"&lt;="&amp;$O$4,'z_Loi'!$M:$M,"*Mobile*")</f>
        <v/>
      </c>
    </row>
    <row r="55">
      <c r="A55" s="72" t="inlineStr">
        <is>
          <t>Medium</t>
        </is>
      </c>
      <c r="B55" s="32">
        <f>COUNTIFS('z_Loi'!$Q:$Q,"&gt;="&amp;$N$4,'z_Loi'!$Q:$Q,"&lt;="&amp;$O$4,'z_Loi'!$L:$L,"Medium")</f>
        <v/>
      </c>
      <c r="D55" s="51" t="inlineStr">
        <is>
          <t>Tablet</t>
        </is>
      </c>
      <c r="E55" s="32">
        <f>COUNTIFS('z_Loi'!$Q:$Q,"&gt;="&amp;$N$4,'z_Loi'!$Q:$Q,"&lt;="&amp;$O$4,'z_Loi'!$M:$M,"*Tablet*")</f>
        <v/>
      </c>
    </row>
    <row r="56">
      <c r="A56" s="68" t="inlineStr">
        <is>
          <t>Low</t>
        </is>
      </c>
      <c r="B56" s="38">
        <f>COUNTIFS('z_Loi'!$Q:$Q,"&gt;="&amp;$N$4,'z_Loi'!$Q:$Q,"&lt;="&amp;$O$4,'z_Loi'!$L:$L,"Low")</f>
        <v/>
      </c>
    </row>
    <row r="58">
      <c r="A58" s="73" t="inlineStr">
        <is>
          <t>THANH TIẾN ĐỘ HOÀN THÀNH</t>
        </is>
      </c>
      <c r="B58" s="60" t="n"/>
      <c r="C58" s="60" t="n"/>
      <c r="D58" s="60" t="n"/>
      <c r="E58" s="60" t="n"/>
      <c r="F58" s="60" t="n"/>
    </row>
    <row r="59">
      <c r="A59" s="74" t="inlineStr">
        <is>
          <t>Trang</t>
        </is>
      </c>
      <c r="B59" s="75">
        <f>REPT("█",ROUND('z_Trang'!$F$1*30,0))&amp;" "&amp;TEXT('z_Trang'!$F$1,"0.0%")</f>
        <v/>
      </c>
      <c r="C59" s="63" t="n"/>
      <c r="D59" s="63" t="n"/>
      <c r="E59" s="63" t="n"/>
      <c r="F59" s="63" t="n"/>
    </row>
    <row r="60">
      <c r="A60" s="76" t="inlineStr">
        <is>
          <t>Tính năng</t>
        </is>
      </c>
      <c r="B60" s="77">
        <f>REPT("█",ROUND('z_TinhNang'!$F$1*30,0))&amp;" "&amp;TEXT('z_TinhNang'!$F$1,"0.0%")</f>
        <v/>
      </c>
      <c r="C60" s="66" t="n"/>
      <c r="D60" s="66" t="n"/>
      <c r="E60" s="66" t="n"/>
      <c r="F60" s="66" t="n"/>
    </row>
    <row r="62" ht="22" customHeight="1">
      <c r="A62" s="11" t="inlineStr">
        <is>
          <t>CHI TIẾT: TRANG &amp; TÍNH NĂNG ĐÃ TEST TRONG TUẦN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78" t="inlineStr">
        <is>
          <t>Trang/tính năng có Ngày test gần nhất trong kỳ (trạng thái Hoàn thành hoặc Kiểm tra lại).</t>
        </is>
      </c>
      <c r="B63" s="5" t="n"/>
      <c r="C63" s="5" t="n"/>
      <c r="D63" s="5" t="n"/>
      <c r="E63" s="5" t="n"/>
      <c r="F63" s="5" t="n"/>
      <c r="G63" s="5" t="n"/>
      <c r="H63" s="5" t="n"/>
    </row>
    <row r="64">
      <c r="A64" s="42" t="inlineStr">
        <is>
          <t>TRANG đã test trong kỳ</t>
        </is>
      </c>
      <c r="B64" s="43" t="inlineStr">
        <is>
          <t>Số lỗi</t>
        </is>
      </c>
      <c r="C64" s="43" t="inlineStr">
        <is>
          <t>Ngày test/retest</t>
        </is>
      </c>
      <c r="F64" s="42" t="inlineStr">
        <is>
          <t>TÍNH NĂNG đã test trong kỳ</t>
        </is>
      </c>
      <c r="G64" s="43" t="inlineStr">
        <is>
          <t>Số lỗi</t>
        </is>
      </c>
      <c r="H64" s="43" t="inlineStr">
        <is>
          <t>Ngày test/retest</t>
        </is>
      </c>
    </row>
    <row r="65">
      <c r="A65" s="79">
        <f>IFERROR(QUERY('z_TrangFull'!$A$1:$R$65,"select B, I, P where P &gt;= date '"&amp;TEXT($N$4,"yyyy-mm-dd")&amp;"' and P &lt;= date '"&amp;TEXT($O$4,"yyyy-mm-dd")&amp;"' and (E = 'Hoàn thành' or E = 'Kiểm tra lại') order by P desc label B '', I '', P '' format I '#,##0', P 'dd/mm/yyyy'",1),"(không có trang test trong kỳ)")</f>
        <v/>
      </c>
      <c r="B65" s="80" t="n"/>
      <c r="C65" s="85" t="n"/>
      <c r="F65" s="79">
        <f>IFERROR(QUERY('z_TNFull'!$A$1:$T$89,"select B, K, R where R &gt;= date '"&amp;TEXT($N$4,"yyyy-mm-dd")&amp;"' and R &lt;= date '"&amp;TEXT($O$4,"yyyy-mm-dd")&amp;"' and (J = 'Hoàn thành' or J = 'Kiểm tra lại') order by R desc label B '', K '', R '' format K '#,##0', R 'dd/mm/yyyy'",1),"(không có tính năng test trong kỳ)")</f>
        <v/>
      </c>
      <c r="G65" s="80" t="n"/>
      <c r="H65" s="85" t="n"/>
    </row>
    <row r="66">
      <c r="A66" s="14" t="n"/>
      <c r="B66" s="80" t="n"/>
      <c r="C66" s="85" t="n"/>
      <c r="F66" s="14" t="n"/>
      <c r="G66" s="80" t="n"/>
      <c r="H66" s="85" t="n"/>
    </row>
    <row r="67">
      <c r="A67" s="14" t="n"/>
      <c r="B67" s="80" t="n"/>
      <c r="C67" s="85" t="n"/>
      <c r="F67" s="14" t="n"/>
      <c r="G67" s="80" t="n"/>
      <c r="H67" s="85" t="n"/>
    </row>
    <row r="68">
      <c r="A68" s="14" t="n"/>
      <c r="B68" s="80" t="n"/>
      <c r="C68" s="85" t="n"/>
      <c r="F68" s="14" t="n"/>
      <c r="G68" s="80" t="n"/>
      <c r="H68" s="85" t="n"/>
    </row>
    <row r="69">
      <c r="A69" s="14" t="n"/>
      <c r="B69" s="80" t="n"/>
      <c r="C69" s="85" t="n"/>
      <c r="F69" s="14" t="n"/>
      <c r="G69" s="80" t="n"/>
      <c r="H69" s="85" t="n"/>
    </row>
    <row r="70">
      <c r="A70" s="14" t="n"/>
      <c r="B70" s="80" t="n"/>
      <c r="C70" s="85" t="n"/>
      <c r="F70" s="14" t="n"/>
      <c r="G70" s="80" t="n"/>
      <c r="H70" s="85" t="n"/>
    </row>
    <row r="71">
      <c r="A71" s="14" t="n"/>
      <c r="B71" s="80" t="n"/>
      <c r="C71" s="85" t="n"/>
      <c r="F71" s="14" t="n"/>
      <c r="G71" s="80" t="n"/>
      <c r="H71" s="85" t="n"/>
    </row>
    <row r="72">
      <c r="A72" s="14" t="n"/>
      <c r="B72" s="80" t="n"/>
      <c r="C72" s="85" t="n"/>
      <c r="F72" s="14" t="n"/>
      <c r="G72" s="80" t="n"/>
      <c r="H72" s="85" t="n"/>
    </row>
    <row r="73">
      <c r="A73" s="14" t="n"/>
      <c r="B73" s="80" t="n"/>
      <c r="C73" s="85" t="n"/>
      <c r="F73" s="14" t="n"/>
      <c r="G73" s="80" t="n"/>
      <c r="H73" s="85" t="n"/>
    </row>
    <row r="74">
      <c r="A74" s="14" t="n"/>
      <c r="B74" s="80" t="n"/>
      <c r="C74" s="85" t="n"/>
      <c r="F74" s="14" t="n"/>
      <c r="G74" s="80" t="n"/>
      <c r="H74" s="85" t="n"/>
    </row>
    <row r="75">
      <c r="A75" s="14" t="n"/>
      <c r="B75" s="80" t="n"/>
      <c r="C75" s="85" t="n"/>
      <c r="F75" s="14" t="n"/>
      <c r="G75" s="80" t="n"/>
      <c r="H75" s="85" t="n"/>
    </row>
    <row r="76">
      <c r="A76" s="14" t="n"/>
      <c r="B76" s="80" t="n"/>
      <c r="C76" s="85" t="n"/>
      <c r="F76" s="14" t="n"/>
      <c r="G76" s="80" t="n"/>
      <c r="H76" s="85" t="n"/>
    </row>
    <row r="77">
      <c r="A77" s="14" t="n"/>
      <c r="B77" s="80" t="n"/>
      <c r="C77" s="85" t="n"/>
      <c r="F77" s="14" t="n"/>
      <c r="G77" s="80" t="n"/>
      <c r="H77" s="85" t="n"/>
    </row>
    <row r="78">
      <c r="A78" s="14" t="n"/>
      <c r="B78" s="80" t="n"/>
      <c r="C78" s="85" t="n"/>
      <c r="F78" s="14" t="n"/>
      <c r="G78" s="80" t="n"/>
      <c r="H78" s="85" t="n"/>
    </row>
    <row r="79">
      <c r="A79" s="14" t="n"/>
      <c r="B79" s="80" t="n"/>
      <c r="C79" s="85" t="n"/>
      <c r="F79" s="14" t="n"/>
      <c r="G79" s="80" t="n"/>
      <c r="H79" s="85" t="n"/>
    </row>
    <row r="80">
      <c r="A80" s="14" t="n"/>
      <c r="B80" s="80" t="n"/>
      <c r="C80" s="85" t="n"/>
      <c r="F80" s="14" t="n"/>
      <c r="G80" s="80" t="n"/>
      <c r="H80" s="85" t="n"/>
    </row>
    <row r="81">
      <c r="A81" s="14" t="n"/>
      <c r="B81" s="80" t="n"/>
      <c r="C81" s="85" t="n"/>
      <c r="F81" s="14" t="n"/>
      <c r="G81" s="80" t="n"/>
      <c r="H81" s="85" t="n"/>
    </row>
    <row r="82">
      <c r="A82" s="14" t="n"/>
      <c r="B82" s="80" t="n"/>
      <c r="C82" s="85" t="n"/>
      <c r="F82" s="14" t="n"/>
      <c r="G82" s="80" t="n"/>
      <c r="H82" s="85" t="n"/>
    </row>
    <row r="83">
      <c r="A83" s="14" t="n"/>
      <c r="B83" s="80" t="n"/>
      <c r="C83" s="85" t="n"/>
      <c r="F83" s="14" t="n"/>
      <c r="G83" s="80" t="n"/>
      <c r="H83" s="85" t="n"/>
    </row>
    <row r="84">
      <c r="A84" s="14" t="n"/>
      <c r="B84" s="80" t="n"/>
      <c r="C84" s="85" t="n"/>
      <c r="F84" s="14" t="n"/>
      <c r="G84" s="80" t="n"/>
      <c r="H84" s="85" t="n"/>
    </row>
    <row r="85">
      <c r="A85" s="14" t="n"/>
      <c r="B85" s="80" t="n"/>
      <c r="C85" s="85" t="n"/>
      <c r="F85" s="14" t="n"/>
      <c r="G85" s="80" t="n"/>
      <c r="H85" s="85" t="n"/>
    </row>
    <row r="86">
      <c r="A86" s="14" t="n"/>
      <c r="B86" s="80" t="n"/>
      <c r="C86" s="85" t="n"/>
      <c r="F86" s="14" t="n"/>
      <c r="G86" s="80" t="n"/>
      <c r="H86" s="85" t="n"/>
    </row>
    <row r="87">
      <c r="A87" s="14" t="n"/>
      <c r="B87" s="80" t="n"/>
      <c r="C87" s="85" t="n"/>
      <c r="F87" s="14" t="n"/>
      <c r="G87" s="80" t="n"/>
      <c r="H87" s="85" t="n"/>
    </row>
    <row r="88">
      <c r="A88" s="14" t="n"/>
      <c r="B88" s="80" t="n"/>
      <c r="C88" s="85" t="n"/>
      <c r="F88" s="14" t="n"/>
      <c r="G88" s="80" t="n"/>
      <c r="H88" s="85" t="n"/>
    </row>
    <row r="89">
      <c r="A89" s="14" t="n"/>
      <c r="B89" s="80" t="n"/>
      <c r="C89" s="85" t="n"/>
      <c r="F89" s="14" t="n"/>
      <c r="G89" s="80" t="n"/>
      <c r="H89" s="85" t="n"/>
    </row>
    <row r="90">
      <c r="A90" s="14" t="n"/>
      <c r="B90" s="80" t="n"/>
      <c r="C90" s="85" t="n"/>
      <c r="F90" s="14" t="n"/>
      <c r="G90" s="80" t="n"/>
      <c r="H90" s="85" t="n"/>
    </row>
    <row r="91">
      <c r="A91" s="14" t="n"/>
      <c r="B91" s="80" t="n"/>
      <c r="C91" s="85" t="n"/>
      <c r="F91" s="14" t="n"/>
      <c r="G91" s="80" t="n"/>
      <c r="H91" s="85" t="n"/>
    </row>
    <row r="92">
      <c r="A92" s="14" t="n"/>
      <c r="B92" s="80" t="n"/>
      <c r="C92" s="85" t="n"/>
      <c r="F92" s="14" t="n"/>
      <c r="G92" s="80" t="n"/>
      <c r="H92" s="85" t="n"/>
    </row>
    <row r="93">
      <c r="A93" s="14" t="n"/>
      <c r="B93" s="80" t="n"/>
      <c r="C93" s="85" t="n"/>
      <c r="F93" s="14" t="n"/>
      <c r="G93" s="80" t="n"/>
      <c r="H93" s="85" t="n"/>
    </row>
    <row r="94">
      <c r="A94" s="14" t="n"/>
      <c r="B94" s="80" t="n"/>
      <c r="C94" s="85" t="n"/>
      <c r="F94" s="14" t="n"/>
      <c r="G94" s="80" t="n"/>
      <c r="H94" s="85" t="n"/>
    </row>
    <row r="95">
      <c r="A95" s="14" t="n"/>
      <c r="B95" s="80" t="n"/>
      <c r="C95" s="85" t="n"/>
      <c r="F95" s="14" t="n"/>
      <c r="G95" s="80" t="n"/>
      <c r="H95" s="85" t="n"/>
    </row>
    <row r="96">
      <c r="A96" s="14" t="n"/>
      <c r="B96" s="80" t="n"/>
      <c r="C96" s="85" t="n"/>
      <c r="F96" s="14" t="n"/>
      <c r="G96" s="80" t="n"/>
      <c r="H96" s="85" t="n"/>
    </row>
    <row r="97">
      <c r="A97" s="14" t="n"/>
      <c r="B97" s="80" t="n"/>
      <c r="C97" s="85" t="n"/>
      <c r="F97" s="14" t="n"/>
      <c r="G97" s="80" t="n"/>
      <c r="H97" s="85" t="n"/>
    </row>
    <row r="98">
      <c r="A98" s="14" t="n"/>
      <c r="B98" s="80" t="n"/>
      <c r="C98" s="85" t="n"/>
      <c r="F98" s="14" t="n"/>
      <c r="G98" s="80" t="n"/>
      <c r="H98" s="85" t="n"/>
    </row>
    <row r="99">
      <c r="A99" s="14" t="n"/>
      <c r="B99" s="80" t="n"/>
      <c r="C99" s="85" t="n"/>
      <c r="F99" s="14" t="n"/>
      <c r="G99" s="80" t="n"/>
      <c r="H99" s="85" t="n"/>
    </row>
    <row r="100">
      <c r="A100" s="14" t="n"/>
      <c r="B100" s="80" t="n"/>
      <c r="C100" s="85" t="n"/>
      <c r="F100" s="14" t="n"/>
      <c r="G100" s="80" t="n"/>
      <c r="H100" s="85" t="n"/>
    </row>
    <row r="101">
      <c r="A101" s="14" t="n"/>
      <c r="B101" s="80" t="n"/>
      <c r="C101" s="85" t="n"/>
      <c r="F101" s="14" t="n"/>
      <c r="G101" s="80" t="n"/>
      <c r="H101" s="85" t="n"/>
    </row>
    <row r="102">
      <c r="A102" s="14" t="n"/>
      <c r="B102" s="80" t="n"/>
      <c r="C102" s="85" t="n"/>
      <c r="F102" s="14" t="n"/>
      <c r="G102" s="80" t="n"/>
      <c r="H102" s="85" t="n"/>
    </row>
    <row r="103">
      <c r="A103" s="14" t="n"/>
      <c r="B103" s="80" t="n"/>
      <c r="C103" s="85" t="n"/>
      <c r="F103" s="14" t="n"/>
      <c r="G103" s="80" t="n"/>
      <c r="H103" s="85" t="n"/>
    </row>
    <row r="104">
      <c r="A104" s="14" t="n"/>
      <c r="B104" s="80" t="n"/>
      <c r="C104" s="85" t="n"/>
      <c r="F104" s="14" t="n"/>
      <c r="G104" s="80" t="n"/>
      <c r="H104" s="85" t="n"/>
    </row>
    <row r="105">
      <c r="A105" s="14" t="n"/>
      <c r="B105" s="80" t="n"/>
      <c r="C105" s="85" t="n"/>
      <c r="F105" s="14" t="n"/>
      <c r="G105" s="80" t="n"/>
      <c r="H105" s="85" t="n"/>
    </row>
    <row r="106">
      <c r="A106" s="14" t="n"/>
      <c r="B106" s="80" t="n"/>
      <c r="C106" s="85" t="n"/>
      <c r="F106" s="14" t="n"/>
      <c r="G106" s="80" t="n"/>
      <c r="H106" s="85" t="n"/>
    </row>
    <row r="107">
      <c r="A107" s="14" t="n"/>
      <c r="B107" s="80" t="n"/>
      <c r="C107" s="85" t="n"/>
      <c r="F107" s="14" t="n"/>
      <c r="G107" s="80" t="n"/>
      <c r="H107" s="85" t="n"/>
    </row>
    <row r="108">
      <c r="A108" s="14" t="n"/>
      <c r="B108" s="80" t="n"/>
      <c r="C108" s="85" t="n"/>
      <c r="F108" s="14" t="n"/>
      <c r="G108" s="80" t="n"/>
      <c r="H108" s="85" t="n"/>
    </row>
    <row r="109">
      <c r="A109" s="14" t="n"/>
      <c r="B109" s="80" t="n"/>
      <c r="C109" s="85" t="n"/>
      <c r="F109" s="14" t="n"/>
      <c r="G109" s="80" t="n"/>
      <c r="H109" s="85" t="n"/>
    </row>
    <row r="110">
      <c r="A110" s="14" t="n"/>
      <c r="B110" s="80" t="n"/>
      <c r="C110" s="85" t="n"/>
      <c r="F110" s="14" t="n"/>
      <c r="G110" s="80" t="n"/>
      <c r="H110" s="85" t="n"/>
    </row>
    <row r="111">
      <c r="A111" s="14" t="n"/>
      <c r="B111" s="80" t="n"/>
      <c r="C111" s="85" t="n"/>
      <c r="F111" s="14" t="n"/>
      <c r="G111" s="80" t="n"/>
      <c r="H111" s="85" t="n"/>
    </row>
    <row r="112">
      <c r="A112" s="14" t="n"/>
      <c r="B112" s="80" t="n"/>
      <c r="C112" s="85" t="n"/>
      <c r="F112" s="14" t="n"/>
      <c r="G112" s="80" t="n"/>
      <c r="H112" s="85" t="n"/>
    </row>
    <row r="113">
      <c r="A113" s="14" t="n"/>
      <c r="B113" s="80" t="n"/>
      <c r="C113" s="85" t="n"/>
      <c r="F113" s="14" t="n"/>
      <c r="G113" s="80" t="n"/>
      <c r="H113" s="85" t="n"/>
    </row>
    <row r="114">
      <c r="A114" s="14" t="n"/>
      <c r="B114" s="80" t="n"/>
      <c r="C114" s="85" t="n"/>
      <c r="F114" s="14" t="n"/>
      <c r="G114" s="80" t="n"/>
      <c r="H114" s="85" t="n"/>
    </row>
    <row r="115">
      <c r="A115" s="14" t="n"/>
      <c r="B115" s="80" t="n"/>
      <c r="C115" s="85" t="n"/>
      <c r="F115" s="14" t="n"/>
      <c r="G115" s="80" t="n"/>
      <c r="H115" s="85" t="n"/>
    </row>
    <row r="116">
      <c r="A116" s="14" t="n"/>
      <c r="B116" s="80" t="n"/>
      <c r="C116" s="85" t="n"/>
      <c r="F116" s="14" t="n"/>
      <c r="G116" s="80" t="n"/>
      <c r="H116" s="85" t="n"/>
    </row>
    <row r="117">
      <c r="A117" s="14" t="n"/>
      <c r="B117" s="80" t="n"/>
      <c r="C117" s="85" t="n"/>
      <c r="F117" s="14" t="n"/>
      <c r="G117" s="80" t="n"/>
      <c r="H117" s="85" t="n"/>
    </row>
    <row r="118">
      <c r="A118" s="14" t="n"/>
      <c r="B118" s="80" t="n"/>
      <c r="C118" s="85" t="n"/>
      <c r="F118" s="14" t="n"/>
      <c r="G118" s="80" t="n"/>
      <c r="H118" s="85" t="n"/>
    </row>
    <row r="119">
      <c r="A119" s="14" t="n"/>
      <c r="B119" s="80" t="n"/>
      <c r="C119" s="85" t="n"/>
      <c r="F119" s="14" t="n"/>
      <c r="G119" s="80" t="n"/>
      <c r="H119" s="85" t="n"/>
    </row>
    <row r="120">
      <c r="A120" s="14" t="n"/>
      <c r="B120" s="80" t="n"/>
      <c r="C120" s="85" t="n"/>
      <c r="F120" s="14" t="n"/>
      <c r="G120" s="80" t="n"/>
      <c r="H120" s="85" t="n"/>
    </row>
    <row r="121">
      <c r="A121" s="14" t="n"/>
      <c r="B121" s="80" t="n"/>
      <c r="C121" s="85" t="n"/>
      <c r="F121" s="14" t="n"/>
      <c r="G121" s="80" t="n"/>
      <c r="H121" s="85" t="n"/>
    </row>
    <row r="122">
      <c r="A122" s="14" t="n"/>
      <c r="B122" s="80" t="n"/>
      <c r="C122" s="85" t="n"/>
      <c r="F122" s="14" t="n"/>
      <c r="G122" s="80" t="n"/>
      <c r="H122" s="85" t="n"/>
    </row>
    <row r="123">
      <c r="A123" s="14" t="n"/>
      <c r="B123" s="80" t="n"/>
      <c r="C123" s="85" t="n"/>
      <c r="F123" s="14" t="n"/>
      <c r="G123" s="80" t="n"/>
      <c r="H123" s="85" t="n"/>
    </row>
    <row r="124">
      <c r="A124" s="14" t="n"/>
      <c r="B124" s="80" t="n"/>
      <c r="C124" s="85" t="n"/>
      <c r="F124" s="14" t="n"/>
      <c r="G124" s="80" t="n"/>
      <c r="H124" s="85" t="n"/>
    </row>
    <row r="125">
      <c r="A125" s="14" t="n"/>
      <c r="B125" s="80" t="n"/>
      <c r="C125" s="85" t="n"/>
      <c r="F125" s="14" t="n"/>
      <c r="G125" s="80" t="n"/>
      <c r="H125" s="85" t="n"/>
    </row>
    <row r="126">
      <c r="A126" s="14" t="n"/>
      <c r="B126" s="80" t="n"/>
      <c r="C126" s="85" t="n"/>
      <c r="F126" s="14" t="n"/>
      <c r="G126" s="80" t="n"/>
      <c r="H126" s="85" t="n"/>
    </row>
    <row r="127">
      <c r="A127" s="14" t="n"/>
      <c r="B127" s="80" t="n"/>
      <c r="C127" s="85" t="n"/>
      <c r="F127" s="14" t="n"/>
      <c r="G127" s="80" t="n"/>
      <c r="H127" s="85" t="n"/>
    </row>
    <row r="128">
      <c r="A128" s="14" t="n"/>
      <c r="B128" s="80" t="n"/>
      <c r="C128" s="85" t="n"/>
      <c r="F128" s="14" t="n"/>
      <c r="G128" s="80" t="n"/>
      <c r="H128" s="85" t="n"/>
    </row>
    <row r="129">
      <c r="A129" s="14" t="n"/>
      <c r="B129" s="80" t="n"/>
      <c r="C129" s="85" t="n"/>
      <c r="F129" s="14" t="n"/>
      <c r="G129" s="80" t="n"/>
      <c r="H129" s="85" t="n"/>
    </row>
    <row r="130">
      <c r="A130" s="14" t="n"/>
      <c r="B130" s="80" t="n"/>
      <c r="C130" s="85" t="n"/>
      <c r="F130" s="14" t="n"/>
      <c r="G130" s="80" t="n"/>
      <c r="H130" s="85" t="n"/>
    </row>
  </sheetData>
  <mergeCells count="23">
    <mergeCell ref="C48:F48"/>
    <mergeCell ref="B59:F59"/>
    <mergeCell ref="A2:F2"/>
    <mergeCell ref="A42:F42"/>
    <mergeCell ref="C49:F49"/>
    <mergeCell ref="A23:F23"/>
    <mergeCell ref="A8:F8"/>
    <mergeCell ref="B60:F60"/>
    <mergeCell ref="A17:F17"/>
    <mergeCell ref="C45:F45"/>
    <mergeCell ref="A13:F13"/>
    <mergeCell ref="A58:F58"/>
    <mergeCell ref="C47:F47"/>
    <mergeCell ref="C44:F44"/>
    <mergeCell ref="A51:F51"/>
    <mergeCell ref="A62:H62"/>
    <mergeCell ref="A36:F36"/>
    <mergeCell ref="A1:F1"/>
    <mergeCell ref="C43:F43"/>
    <mergeCell ref="D5:E5"/>
    <mergeCell ref="A63:H63"/>
    <mergeCell ref="C46:F46"/>
    <mergeCell ref="A25:F25"/>
  </mergeCells>
  <dataValidations count="2">
    <dataValidation sqref="B4" showDropDown="0" showInputMessage="0" showErrorMessage="0" allowBlank="0" type="list">
      <formula1>"1,2,3,4,5,6,7,8,9,10,11,12"</formula1>
    </dataValidation>
    <dataValidation sqref="D4" showDropDown="0" showInputMessage="0" showErrorMessage="0" allowBlank="0" type="list">
      <formula1>"1,2,3,4,5"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5E00"/>
    <outlinePr summaryBelow="1" summaryRight="1"/>
    <pageSetUpPr/>
  </sheetPr>
  <dimension ref="A1:N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34" customWidth="1" min="4" max="4"/>
    <col width="28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6" customWidth="1" min="11" max="11"/>
    <col width="18" customWidth="1" min="12" max="12"/>
    <col width="14" customWidth="1" min="13" max="13"/>
    <col width="12" customWidth="1" min="14" max="14"/>
  </cols>
  <sheetData>
    <row r="1" ht="30" customHeight="1">
      <c r="A1" s="2" t="inlineStr">
        <is>
          <t>BIÊN BẢN NGHIỆM THU THEO NGƯỜI DÙNG — WEBSITE TIMVIEC123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2" ht="30" customHeight="1">
      <c r="A2" s="18" t="inlineStr">
        <is>
          <t>Nghiệm thu theo góc nhìn người dùng: mỗi VAI TRÒ phải đi hết được các HÀNH TRÌNH chính. Tester chỉ nhập ô nền vàng ở mục IV; mục I–III tự tính. Mức độ/trạng thái lỗi tra live từ 05_Lỗi_Tester theo BUG_ID.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</row>
    <row r="4">
      <c r="A4" s="43" t="inlineStr">
        <is>
          <t>Kỳ nghiệm thu</t>
        </is>
      </c>
      <c r="B4" s="86" t="inlineStr">
        <is>
          <t>Tháng 8</t>
        </is>
      </c>
      <c r="C4" s="43" t="inlineStr">
        <is>
          <t>Ngày lập</t>
        </is>
      </c>
      <c r="D4" s="87">
        <f>TODAY()</f>
        <v/>
      </c>
      <c r="E4" s="43" t="inlineStr">
        <is>
          <t>Người lập</t>
        </is>
      </c>
      <c r="F4" s="88" t="inlineStr"/>
      <c r="G4" s="89" t="n"/>
      <c r="H4" s="89" t="n"/>
      <c r="I4" s="43" t="inlineStr">
        <is>
          <t>Môi trường</t>
        </is>
      </c>
      <c r="J4" s="88" t="inlineStr">
        <is>
          <t>Production</t>
        </is>
      </c>
      <c r="K4" s="89" t="n"/>
    </row>
    <row r="6" ht="22" customHeight="1">
      <c r="A6" s="11" t="inlineStr">
        <is>
          <t>I. TỔNG HỢP THEO VAI TRÒ NGƯỜI DÙNG (tự tính từ mục III–IV)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32" customHeight="1">
      <c r="A7" s="90" t="inlineStr">
        <is>
          <t>Vai trò</t>
        </is>
      </c>
      <c r="B7" s="90" t="inlineStr">
        <is>
          <t>Số hành trình</t>
        </is>
      </c>
      <c r="C7" s="90" t="inlineStr">
        <is>
          <t>Hành trình ĐẠT</t>
        </is>
      </c>
      <c r="D7" s="90" t="inlineStr">
        <is>
          <t>Tổng số bước</t>
        </is>
      </c>
      <c r="E7" s="90" t="inlineStr">
        <is>
          <t>Pass</t>
        </is>
      </c>
      <c r="F7" s="90" t="inlineStr">
        <is>
          <t>Fail</t>
        </is>
      </c>
      <c r="G7" s="90" t="inlineStr">
        <is>
          <t>Blocked</t>
        </is>
      </c>
      <c r="H7" s="90" t="inlineStr">
        <is>
          <t>Chưa test</t>
        </is>
      </c>
      <c r="I7" s="90" t="inlineStr">
        <is>
          <t>% Pass</t>
        </is>
      </c>
      <c r="J7" s="90" t="inlineStr">
        <is>
          <t>Lỗi C/H đang chặn</t>
        </is>
      </c>
      <c r="K7" s="90" t="inlineStr">
        <is>
          <t>Kết luận</t>
        </is>
      </c>
      <c r="L7" s="90" t="inlineStr">
        <is>
          <t>Ghi chú / Người duyệt</t>
        </is>
      </c>
      <c r="M7" s="91" t="n"/>
      <c r="N7" s="91" t="n"/>
    </row>
    <row r="8" ht="24" customHeight="1">
      <c r="A8" s="74" t="inlineStr">
        <is>
          <t>Khách vãng lai</t>
        </is>
      </c>
      <c r="B8" s="52">
        <f>COUNTIF($B$35:$B$49,$A8)</f>
        <v/>
      </c>
      <c r="C8" s="92">
        <f>COUNTIFS($B$35:$B$49,$A8,$K$35:$K$49,"ĐẠT")</f>
        <v/>
      </c>
      <c r="D8" s="52">
        <f>COUNTIFS($C$54:$C$114,$A8,$A$54:$A$114,"&lt;&gt;")</f>
        <v/>
      </c>
      <c r="E8" s="52">
        <f>COUNTIFS($C$54:$C$114,$A8,$G$54:$G$114,"Pass")</f>
        <v/>
      </c>
      <c r="F8" s="52">
        <f>COUNTIFS($C$54:$C$114,$A8,$G$54:$G$114,"Fail")</f>
        <v/>
      </c>
      <c r="G8" s="52">
        <f>COUNTIFS($C$54:$C$114,$A8,$G$54:$G$114,"Blocked")</f>
        <v/>
      </c>
      <c r="H8" s="52">
        <f>D8-E8-F8-G8</f>
        <v/>
      </c>
      <c r="I8" s="53">
        <f>IF(D8=0,"",E8/D8)</f>
        <v/>
      </c>
      <c r="J8" s="93">
        <f>COUNTIFS($C$54:$C$114,$A8,$K$54:$K$114,"CHẶN")</f>
        <v/>
      </c>
      <c r="K8" s="34">
        <f>IF(B8=0,"—",IF(AND(C8=B8,J8=0),"ĐẠT",IF(OR(F8+G8&gt;0,J8&gt;0),"CHƯA ĐẠT","ĐANG TEST")))</f>
        <v/>
      </c>
      <c r="L8" s="94" t="inlineStr"/>
      <c r="M8" s="89" t="n"/>
      <c r="N8" s="89" t="n"/>
    </row>
    <row r="9" ht="24" customHeight="1">
      <c r="A9" s="76" t="inlineStr">
        <is>
          <t>Ứng viên</t>
        </is>
      </c>
      <c r="B9" s="49">
        <f>COUNTIF($B$35:$B$49,$A9)</f>
        <v/>
      </c>
      <c r="C9" s="95">
        <f>COUNTIFS($B$35:$B$49,$A9,$K$35:$K$49,"ĐẠT")</f>
        <v/>
      </c>
      <c r="D9" s="49">
        <f>COUNTIFS($C$54:$C$114,$A9,$A$54:$A$114,"&lt;&gt;")</f>
        <v/>
      </c>
      <c r="E9" s="49">
        <f>COUNTIFS($C$54:$C$114,$A9,$G$54:$G$114,"Pass")</f>
        <v/>
      </c>
      <c r="F9" s="49">
        <f>COUNTIFS($C$54:$C$114,$A9,$G$54:$G$114,"Fail")</f>
        <v/>
      </c>
      <c r="G9" s="49">
        <f>COUNTIFS($C$54:$C$114,$A9,$G$54:$G$114,"Blocked")</f>
        <v/>
      </c>
      <c r="H9" s="49">
        <f>D9-E9-F9-G9</f>
        <v/>
      </c>
      <c r="I9" s="50">
        <f>IF(D9=0,"",E9/D9)</f>
        <v/>
      </c>
      <c r="J9" s="96">
        <f>COUNTIFS($C$54:$C$114,$A9,$K$54:$K$114,"CHẶN")</f>
        <v/>
      </c>
      <c r="K9" s="40">
        <f>IF(B9=0,"—",IF(AND(C9=B9,J9=0),"ĐẠT",IF(OR(F9+G9&gt;0,J9&gt;0),"CHƯA ĐẠT","ĐANG TEST")))</f>
        <v/>
      </c>
      <c r="L9" s="94" t="inlineStr"/>
      <c r="M9" s="89" t="n"/>
      <c r="N9" s="89" t="n"/>
    </row>
    <row r="10" ht="24" customHeight="1">
      <c r="A10" s="74" t="inlineStr">
        <is>
          <t>Nhà tuyển dụng (DN)</t>
        </is>
      </c>
      <c r="B10" s="52">
        <f>COUNTIF($B$35:$B$49,$A10)</f>
        <v/>
      </c>
      <c r="C10" s="92">
        <f>COUNTIFS($B$35:$B$49,$A10,$K$35:$K$49,"ĐẠT")</f>
        <v/>
      </c>
      <c r="D10" s="52">
        <f>COUNTIFS($C$54:$C$114,$A10,$A$54:$A$114,"&lt;&gt;")</f>
        <v/>
      </c>
      <c r="E10" s="52">
        <f>COUNTIFS($C$54:$C$114,$A10,$G$54:$G$114,"Pass")</f>
        <v/>
      </c>
      <c r="F10" s="52">
        <f>COUNTIFS($C$54:$C$114,$A10,$G$54:$G$114,"Fail")</f>
        <v/>
      </c>
      <c r="G10" s="52">
        <f>COUNTIFS($C$54:$C$114,$A10,$G$54:$G$114,"Blocked")</f>
        <v/>
      </c>
      <c r="H10" s="52">
        <f>D10-E10-F10-G10</f>
        <v/>
      </c>
      <c r="I10" s="53">
        <f>IF(D10=0,"",E10/D10)</f>
        <v/>
      </c>
      <c r="J10" s="93">
        <f>COUNTIFS($C$54:$C$114,$A10,$K$54:$K$114,"CHẶN")</f>
        <v/>
      </c>
      <c r="K10" s="34">
        <f>IF(B10=0,"—",IF(AND(C10=B10,J10=0),"ĐẠT",IF(OR(F10+G10&gt;0,J10&gt;0),"CHƯA ĐẠT","ĐANG TEST")))</f>
        <v/>
      </c>
      <c r="L10" s="94" t="inlineStr"/>
      <c r="M10" s="89" t="n"/>
      <c r="N10" s="89" t="n"/>
    </row>
    <row r="11" ht="24" customHeight="1">
      <c r="A11" s="76" t="inlineStr">
        <is>
          <t>HR</t>
        </is>
      </c>
      <c r="B11" s="49">
        <f>COUNTIF($B$35:$B$49,$A11)</f>
        <v/>
      </c>
      <c r="C11" s="95">
        <f>COUNTIFS($B$35:$B$49,$A11,$K$35:$K$49,"ĐẠT")</f>
        <v/>
      </c>
      <c r="D11" s="49">
        <f>COUNTIFS($C$54:$C$114,$A11,$A$54:$A$114,"&lt;&gt;")</f>
        <v/>
      </c>
      <c r="E11" s="49">
        <f>COUNTIFS($C$54:$C$114,$A11,$G$54:$G$114,"Pass")</f>
        <v/>
      </c>
      <c r="F11" s="49">
        <f>COUNTIFS($C$54:$C$114,$A11,$G$54:$G$114,"Fail")</f>
        <v/>
      </c>
      <c r="G11" s="49">
        <f>COUNTIFS($C$54:$C$114,$A11,$G$54:$G$114,"Blocked")</f>
        <v/>
      </c>
      <c r="H11" s="49">
        <f>D11-E11-F11-G11</f>
        <v/>
      </c>
      <c r="I11" s="50">
        <f>IF(D11=0,"",E11/D11)</f>
        <v/>
      </c>
      <c r="J11" s="96">
        <f>COUNTIFS($C$54:$C$114,$A11,$K$54:$K$114,"CHẶN")</f>
        <v/>
      </c>
      <c r="K11" s="40">
        <f>IF(B11=0,"—",IF(AND(C11=B11,J11=0),"ĐẠT",IF(OR(F11+G11&gt;0,J11&gt;0),"CHƯA ĐẠT","ĐANG TEST")))</f>
        <v/>
      </c>
      <c r="L11" s="94" t="inlineStr"/>
      <c r="M11" s="89" t="n"/>
      <c r="N11" s="89" t="n"/>
    </row>
    <row r="12" ht="24" customHeight="1">
      <c r="A12" s="74" t="inlineStr">
        <is>
          <t>Quản trị viên</t>
        </is>
      </c>
      <c r="B12" s="52">
        <f>COUNTIF($B$35:$B$49,$A12)</f>
        <v/>
      </c>
      <c r="C12" s="92">
        <f>COUNTIFS($B$35:$B$49,$A12,$K$35:$K$49,"ĐẠT")</f>
        <v/>
      </c>
      <c r="D12" s="52">
        <f>COUNTIFS($C$54:$C$114,$A12,$A$54:$A$114,"&lt;&gt;")</f>
        <v/>
      </c>
      <c r="E12" s="52">
        <f>COUNTIFS($C$54:$C$114,$A12,$G$54:$G$114,"Pass")</f>
        <v/>
      </c>
      <c r="F12" s="52">
        <f>COUNTIFS($C$54:$C$114,$A12,$G$54:$G$114,"Fail")</f>
        <v/>
      </c>
      <c r="G12" s="52">
        <f>COUNTIFS($C$54:$C$114,$A12,$G$54:$G$114,"Blocked")</f>
        <v/>
      </c>
      <c r="H12" s="52">
        <f>D12-E12-F12-G12</f>
        <v/>
      </c>
      <c r="I12" s="53">
        <f>IF(D12=0,"",E12/D12)</f>
        <v/>
      </c>
      <c r="J12" s="93">
        <f>COUNTIFS($C$54:$C$114,$A12,$K$54:$K$114,"CHẶN")</f>
        <v/>
      </c>
      <c r="K12" s="34">
        <f>IF(B12=0,"—",IF(AND(C12=B12,J12=0),"ĐẠT",IF(OR(F12+G12&gt;0,J12&gt;0),"CHƯA ĐẠT","ĐANG TEST")))</f>
        <v/>
      </c>
      <c r="L12" s="94" t="inlineStr"/>
      <c r="M12" s="89" t="n"/>
      <c r="N12" s="89" t="n"/>
    </row>
    <row r="13" ht="24" customHeight="1">
      <c r="A13" s="42" t="inlineStr">
        <is>
          <t>TỔNG</t>
        </is>
      </c>
      <c r="B13" s="97">
        <f>SUM(B8:B12)</f>
        <v/>
      </c>
      <c r="C13" s="97">
        <f>SUM(C8:C12)</f>
        <v/>
      </c>
      <c r="D13" s="97">
        <f>SUM(D8:D12)</f>
        <v/>
      </c>
      <c r="E13" s="97">
        <f>SUM(E8:E12)</f>
        <v/>
      </c>
      <c r="F13" s="97">
        <f>SUM(F8:F12)</f>
        <v/>
      </c>
      <c r="G13" s="97">
        <f>SUM(G8:G12)</f>
        <v/>
      </c>
      <c r="H13" s="97">
        <f>SUM(H8:H12)</f>
        <v/>
      </c>
      <c r="I13" s="98">
        <f>IF(D13=0,"",E13/D13)</f>
        <v/>
      </c>
      <c r="J13" s="97">
        <f>SUM(J8:J12)</f>
        <v/>
      </c>
      <c r="K13" s="81">
        <f>IF(B13=0,"—",IF(AND(C13=B13,J13=0),"ĐẠT",IF(OR(F13+G13&gt;0,J13&gt;0),"CHƯA ĐẠT","ĐANG TEST")))</f>
        <v/>
      </c>
      <c r="L13" s="29" t="inlineStr"/>
      <c r="M13" s="29" t="n"/>
      <c r="N13" s="29" t="n"/>
    </row>
    <row r="15" ht="30" customHeight="1">
      <c r="A15" s="73" t="inlineStr">
        <is>
          <t>KẾT LUẬN (tự động)</t>
        </is>
      </c>
      <c r="B15" s="60" t="n"/>
      <c r="C15" s="99">
        <f>IF(B13=0,"Chưa có hành trình nghiệm thu",IF(K13="ĐẠT","✔ ĐỦ ĐIỀU KIỆN NGHIỆM THU — "&amp;C13&amp;"/"&amp;B13&amp;" hành trình đạt, không còn lỗi Critical/High chặn","✖ CHƯA ĐỦ ĐIỀU KIỆN — "&amp;C13&amp;"/"&amp;B13&amp;" hành trình đạt; "&amp;F13&amp;" bước Fail, "&amp;G13&amp;" Blocked, "&amp;H13&amp;" chưa test; "&amp;J13&amp;" lỗi Critical/High đang chặn"))</f>
        <v/>
      </c>
      <c r="D15" s="63" t="n"/>
      <c r="E15" s="63" t="n"/>
      <c r="F15" s="63" t="n"/>
      <c r="G15" s="63" t="n"/>
      <c r="H15" s="63" t="n"/>
      <c r="I15" s="63" t="n"/>
      <c r="J15" s="63" t="n"/>
      <c r="K15" s="63" t="n"/>
      <c r="L15" s="63" t="n"/>
      <c r="M15" s="63" t="n"/>
      <c r="N15" s="63" t="n"/>
    </row>
    <row r="16" ht="28" customHeight="1">
      <c r="A16" s="73" t="inlineStr">
        <is>
          <t>QUYẾT ĐỊNH BGD</t>
        </is>
      </c>
      <c r="B16" s="60" t="n"/>
      <c r="C16" s="100" t="inlineStr"/>
      <c r="D16" s="89" t="n"/>
      <c r="E16" s="89" t="n"/>
      <c r="F16" s="101" t="inlineStr">
        <is>
          <t>Điều kiện / ngoại lệ</t>
        </is>
      </c>
      <c r="G16" s="60" t="n"/>
      <c r="H16" s="94" t="inlineStr"/>
      <c r="I16" s="89" t="n"/>
      <c r="J16" s="89" t="n"/>
      <c r="K16" s="89" t="n"/>
      <c r="L16" s="89" t="n"/>
      <c r="M16" s="89" t="n"/>
      <c r="N16" s="89" t="n"/>
    </row>
    <row r="17" ht="28" customHeight="1">
      <c r="A17" s="18" t="inlineStr">
        <is>
          <t>Điều kiện ĐẠT: mọi bước của hành trình là Pass và không có BUG_ID mức Critical/High còn Open/Chưa gửi Dev. Ngoại lệ phải ghi rõ lý do và người duyệt.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9" ht="22" customHeight="1">
      <c r="A19" s="11" t="inlineStr">
        <is>
          <t>II. CHẤT LƯỢNG KỸ THUẬT (live từ file QA)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32" customHeight="1">
      <c r="A20" s="90" t="inlineStr">
        <is>
          <t>Hạng mục</t>
        </is>
      </c>
      <c r="B20" s="90" t="inlineStr">
        <is>
          <t>Phạm vi</t>
        </is>
      </c>
      <c r="C20" s="90" t="inlineStr">
        <is>
          <t>Tổng</t>
        </is>
      </c>
      <c r="D20" s="90" t="inlineStr">
        <is>
          <t>Hoàn thành</t>
        </is>
      </c>
      <c r="E20" s="90" t="inlineStr">
        <is>
          <t>Tỷ lệ</t>
        </is>
      </c>
      <c r="F20" s="90" t="inlineStr">
        <is>
          <t>Critical/High mở</t>
        </is>
      </c>
      <c r="G20" s="90" t="inlineStr">
        <is>
          <t>Kết luận</t>
        </is>
      </c>
      <c r="H20" s="90" t="inlineStr">
        <is>
          <t>Ghi chú</t>
        </is>
      </c>
      <c r="I20" s="91" t="n"/>
      <c r="J20" s="91" t="n"/>
      <c r="K20" s="91" t="n"/>
      <c r="L20" s="91" t="n"/>
      <c r="M20" s="91" t="n"/>
      <c r="N20" s="91" t="n"/>
    </row>
    <row r="21" ht="24" customHeight="1">
      <c r="A21" s="74" t="inlineStr">
        <is>
          <t>UI/UX</t>
        </is>
      </c>
      <c r="B21" s="102" t="inlineStr">
        <is>
          <t>Trang website</t>
        </is>
      </c>
      <c r="C21" s="52">
        <f>'z_Trang'!$B$1</f>
        <v/>
      </c>
      <c r="D21" s="103">
        <f>'z_Trang'!$D$1</f>
        <v/>
      </c>
      <c r="E21" s="33">
        <f>'z_Trang'!$F$1</f>
        <v/>
      </c>
      <c r="F21" s="93">
        <f>(COUNTIFS('z_Loi'!$U:$U,"Open",'z_Loi'!$L:$L,"Critical")+COUNTIFS('z_Loi'!$U:$U,"Open",'z_Loi'!$L:$L,"High")+COUNTIFS('z_Loi'!$U:$U,"Chưa gửi Dev",'z_Loi'!$L:$L,"Critical")+COUNTIFS('z_Loi'!$U:$U,"Chưa gửi Dev",'z_Loi'!$L:$L,"High"))</f>
        <v/>
      </c>
      <c r="G21" s="104" t="inlineStr"/>
      <c r="H21" s="94" t="inlineStr"/>
      <c r="I21" s="89" t="n"/>
      <c r="J21" s="89" t="n"/>
      <c r="K21" s="89" t="n"/>
      <c r="L21" s="89" t="n"/>
      <c r="M21" s="89" t="n"/>
      <c r="N21" s="89" t="n"/>
    </row>
    <row r="22" ht="24" customHeight="1">
      <c r="A22" s="76" t="inlineStr">
        <is>
          <t>Chức năng</t>
        </is>
      </c>
      <c r="B22" s="105" t="inlineStr">
        <is>
          <t>88 tính năng</t>
        </is>
      </c>
      <c r="C22" s="49">
        <f>'z_TinhNang'!$B$1</f>
        <v/>
      </c>
      <c r="D22" s="106">
        <f>'z_TinhNang'!$D$1</f>
        <v/>
      </c>
      <c r="E22" s="39">
        <f>'z_TinhNang'!$F$1</f>
        <v/>
      </c>
      <c r="F22" s="96">
        <f>(COUNTIFS('z_Loi'!$U:$U,"Open",'z_Loi'!$L:$L,"Critical")+COUNTIFS('z_Loi'!$U:$U,"Open",'z_Loi'!$L:$L,"High")+COUNTIFS('z_Loi'!$U:$U,"Chưa gửi Dev",'z_Loi'!$L:$L,"Critical")+COUNTIFS('z_Loi'!$U:$U,"Chưa gửi Dev",'z_Loi'!$L:$L,"High"))</f>
        <v/>
      </c>
      <c r="G22" s="104" t="inlineStr"/>
      <c r="H22" s="94" t="inlineStr"/>
      <c r="I22" s="89" t="n"/>
      <c r="J22" s="89" t="n"/>
      <c r="K22" s="89" t="n"/>
      <c r="L22" s="89" t="n"/>
      <c r="M22" s="89" t="n"/>
      <c r="N22" s="89" t="n"/>
    </row>
    <row r="23" ht="24" customHeight="1">
      <c r="A23" s="74" t="inlineStr">
        <is>
          <t>Responsive</t>
        </is>
      </c>
      <c r="B23" s="102" t="inlineStr">
        <is>
          <t>YC_87 + lỗi responsive</t>
        </is>
      </c>
      <c r="C23" s="52" t="inlineStr"/>
      <c r="D23" s="103" t="inlineStr"/>
      <c r="E23" s="59" t="inlineStr"/>
      <c r="F23" s="93">
        <f>COUNTIF('z_Loi'!$K:$K,"*Responsive*")</f>
        <v/>
      </c>
      <c r="G23" s="104" t="inlineStr"/>
      <c r="H23" s="94" t="inlineStr"/>
      <c r="I23" s="89" t="n"/>
      <c r="J23" s="89" t="n"/>
      <c r="K23" s="89" t="n"/>
      <c r="L23" s="89" t="n"/>
      <c r="M23" s="89" t="n"/>
      <c r="N23" s="89" t="n"/>
    </row>
    <row r="24" ht="24" customHeight="1">
      <c r="A24" s="76" t="inlineStr">
        <is>
          <t>Bảo mật</t>
        </is>
      </c>
      <c r="B24" s="105" t="inlineStr">
        <is>
          <t>Test Case Security</t>
        </is>
      </c>
      <c r="C24" s="49" t="inlineStr"/>
      <c r="D24" s="106" t="inlineStr"/>
      <c r="E24" s="54" t="inlineStr"/>
      <c r="F24" s="96">
        <f>COUNTIF('z_Loi'!$K:$K,"*Security*")</f>
        <v/>
      </c>
      <c r="G24" s="104" t="inlineStr"/>
      <c r="H24" s="94" t="inlineStr"/>
      <c r="I24" s="89" t="n"/>
      <c r="J24" s="89" t="n"/>
      <c r="K24" s="89" t="n"/>
      <c r="L24" s="89" t="n"/>
      <c r="M24" s="89" t="n"/>
      <c r="N24" s="89" t="n"/>
    </row>
    <row r="25" ht="24" customHeight="1">
      <c r="A25" s="74" t="inlineStr">
        <is>
          <t>Dữ liệu</t>
        </is>
      </c>
      <c r="B25" s="102" t="inlineStr">
        <is>
          <t>Test Case API/Database</t>
        </is>
      </c>
      <c r="C25" s="52" t="inlineStr"/>
      <c r="D25" s="103" t="inlineStr"/>
      <c r="E25" s="59" t="inlineStr"/>
      <c r="F25" s="107" t="inlineStr"/>
      <c r="G25" s="104" t="inlineStr"/>
      <c r="H25" s="94" t="inlineStr"/>
      <c r="I25" s="89" t="n"/>
      <c r="J25" s="89" t="n"/>
      <c r="K25" s="89" t="n"/>
      <c r="L25" s="89" t="n"/>
      <c r="M25" s="89" t="n"/>
      <c r="N25" s="89" t="n"/>
    </row>
    <row r="27">
      <c r="A27" s="43" t="inlineStr">
        <is>
          <t>NGƯỜI LẬP (Tester)</t>
        </is>
      </c>
      <c r="B27" s="60" t="n"/>
      <c r="C27" s="60" t="n"/>
      <c r="D27" s="43" t="inlineStr">
        <is>
          <t>QA LEAD</t>
        </is>
      </c>
      <c r="E27" s="60" t="n"/>
      <c r="F27" s="43" t="inlineStr">
        <is>
          <t>ĐẠI DIỆN DEV</t>
        </is>
      </c>
      <c r="G27" s="60" t="n"/>
      <c r="H27" s="60" t="n"/>
      <c r="I27" s="60" t="n"/>
      <c r="J27" s="60" t="n"/>
      <c r="K27" s="43" t="inlineStr">
        <is>
          <t>BAN GIÁM ĐỐC</t>
        </is>
      </c>
      <c r="L27" s="60" t="n"/>
      <c r="M27" s="60" t="n"/>
      <c r="N27" s="60" t="n"/>
    </row>
    <row r="28">
      <c r="A28" s="108" t="inlineStr">
        <is>
          <t>(Ký, ghi rõ họ tên)</t>
        </is>
      </c>
      <c r="B28" s="14" t="n"/>
      <c r="C28" s="14" t="n"/>
      <c r="D28" s="108" t="inlineStr">
        <is>
          <t>(Ký, ghi rõ họ tên)</t>
        </is>
      </c>
      <c r="E28" s="14" t="n"/>
      <c r="F28" s="108" t="inlineStr">
        <is>
          <t>(Ký, ghi rõ họ tên)</t>
        </is>
      </c>
      <c r="G28" s="14" t="n"/>
      <c r="H28" s="14" t="n"/>
      <c r="I28" s="14" t="n"/>
      <c r="J28" s="14" t="n"/>
      <c r="K28" s="108" t="inlineStr">
        <is>
          <t>(Ký, ghi rõ họ tên)</t>
        </is>
      </c>
      <c r="L28" s="14" t="n"/>
      <c r="M28" s="14" t="n"/>
      <c r="N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2" ht="22" customHeight="1">
      <c r="A32" s="11" t="inlineStr">
        <is>
          <t>III. DANH SÁCH HÀNH TRÌNH NGƯỜI DÙNG (kết luận tự tính từ mục IV)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 ht="18" customHeight="1">
      <c r="A33" s="18" t="inlineStr">
        <is>
          <t>Thêm hành trình mới vào các dòng trống (nhập Mã HT, Vai trò, Tên). Mã HT phải khớp với cột Mã HT ở mục IV.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</row>
    <row r="34" ht="32" customHeight="1">
      <c r="A34" s="90" t="inlineStr">
        <is>
          <t>Mã HT</t>
        </is>
      </c>
      <c r="B34" s="90" t="inlineStr">
        <is>
          <t>Vai trò</t>
        </is>
      </c>
      <c r="C34" s="90" t="inlineStr">
        <is>
          <t>Tên hành trình</t>
        </is>
      </c>
      <c r="D34" s="91" t="n"/>
      <c r="E34" s="90" t="inlineStr">
        <is>
          <t>Số bước</t>
        </is>
      </c>
      <c r="F34" s="90" t="inlineStr">
        <is>
          <t>Pass</t>
        </is>
      </c>
      <c r="G34" s="90" t="inlineStr">
        <is>
          <t>Fail</t>
        </is>
      </c>
      <c r="H34" s="90" t="inlineStr">
        <is>
          <t>Blocked</t>
        </is>
      </c>
      <c r="I34" s="90" t="inlineStr">
        <is>
          <t>% Pass</t>
        </is>
      </c>
      <c r="J34" s="90" t="inlineStr">
        <is>
          <t>Lỗi C/H chặn</t>
        </is>
      </c>
      <c r="K34" s="90" t="inlineStr">
        <is>
          <t>Kết luận</t>
        </is>
      </c>
      <c r="L34" s="90" t="inlineStr">
        <is>
          <t>Ghi chú</t>
        </is>
      </c>
      <c r="M34" s="91" t="n"/>
      <c r="N34" s="91" t="n"/>
    </row>
    <row r="35" ht="22" customHeight="1">
      <c r="A35" s="86" t="inlineStr">
        <is>
          <t>KV-01</t>
        </is>
      </c>
      <c r="B35" s="94" t="inlineStr">
        <is>
          <t>Khách vãng lai</t>
        </is>
      </c>
      <c r="C35" s="109" t="inlineStr">
        <is>
          <t>Tìm &amp; xem việc làm khi chưa đăng nhập</t>
        </is>
      </c>
      <c r="D35" s="89" t="n"/>
      <c r="E35" s="110">
        <f>IF($A35="","",COUNTIF($A$54:$A$114,$A35))</f>
        <v/>
      </c>
      <c r="F35" s="110">
        <f>IF($A35="","",COUNTIFS($A$54:$A$114,$A35,$G$54:$G$114,"Pass"))</f>
        <v/>
      </c>
      <c r="G35" s="110">
        <f>IF($A35="","",COUNTIFS($A$54:$A$114,$A35,$G$54:$G$114,"Fail"))</f>
        <v/>
      </c>
      <c r="H35" s="110">
        <f>IF($A35="","",COUNTIFS($A$54:$A$114,$A35,$G$54:$G$114,"Blocked"))</f>
        <v/>
      </c>
      <c r="I35" s="111">
        <f>IF(OR($A35="",N(E35)=0),"",F35/E35)</f>
        <v/>
      </c>
      <c r="J35" s="112">
        <f>IF($A35="","",COUNTIFS($A$54:$A$114,$A35,$K$54:$K$114,"CHẶN"))</f>
        <v/>
      </c>
      <c r="K35" s="113">
        <f>IF($A35="","",IF(E35=0,"Chưa có bước",IF(J35&gt;0,"CHƯA ĐẠT",IF(F35=E35,"ĐẠT",IF(G35+H35&gt;0,"CHƯA ĐẠT","ĐANG TEST")))))</f>
        <v/>
      </c>
      <c r="L35" s="94" t="inlineStr"/>
      <c r="M35" s="89" t="n"/>
      <c r="N35" s="89" t="n"/>
    </row>
    <row r="36" ht="22" customHeight="1">
      <c r="A36" s="86" t="inlineStr">
        <is>
          <t>UV-01</t>
        </is>
      </c>
      <c r="B36" s="94" t="inlineStr">
        <is>
          <t>Ứng viên</t>
        </is>
      </c>
      <c r="C36" s="109" t="inlineStr">
        <is>
          <t>Đăng ký &amp; đăng nhập</t>
        </is>
      </c>
      <c r="D36" s="89" t="n"/>
      <c r="E36" s="110">
        <f>IF($A36="","",COUNTIF($A$54:$A$114,$A36))</f>
        <v/>
      </c>
      <c r="F36" s="110">
        <f>IF($A36="","",COUNTIFS($A$54:$A$114,$A36,$G$54:$G$114,"Pass"))</f>
        <v/>
      </c>
      <c r="G36" s="110">
        <f>IF($A36="","",COUNTIFS($A$54:$A$114,$A36,$G$54:$G$114,"Fail"))</f>
        <v/>
      </c>
      <c r="H36" s="110">
        <f>IF($A36="","",COUNTIFS($A$54:$A$114,$A36,$G$54:$G$114,"Blocked"))</f>
        <v/>
      </c>
      <c r="I36" s="111">
        <f>IF(OR($A36="",N(E36)=0),"",F36/E36)</f>
        <v/>
      </c>
      <c r="J36" s="112">
        <f>IF($A36="","",COUNTIFS($A$54:$A$114,$A36,$K$54:$K$114,"CHẶN"))</f>
        <v/>
      </c>
      <c r="K36" s="113">
        <f>IF($A36="","",IF(E36=0,"Chưa có bước",IF(J36&gt;0,"CHƯA ĐẠT",IF(F36=E36,"ĐẠT",IF(G36+H36&gt;0,"CHƯA ĐẠT","ĐANG TEST")))))</f>
        <v/>
      </c>
      <c r="L36" s="94" t="inlineStr"/>
      <c r="M36" s="89" t="n"/>
      <c r="N36" s="89" t="n"/>
    </row>
    <row r="37" ht="22" customHeight="1">
      <c r="A37" s="86" t="inlineStr">
        <is>
          <t>UV-02</t>
        </is>
      </c>
      <c r="B37" s="94" t="inlineStr">
        <is>
          <t>Ứng viên</t>
        </is>
      </c>
      <c r="C37" s="109" t="inlineStr">
        <is>
          <t>Tạo hồ sơ &amp; CV</t>
        </is>
      </c>
      <c r="D37" s="89" t="n"/>
      <c r="E37" s="110">
        <f>IF($A37="","",COUNTIF($A$54:$A$114,$A37))</f>
        <v/>
      </c>
      <c r="F37" s="110">
        <f>IF($A37="","",COUNTIFS($A$54:$A$114,$A37,$G$54:$G$114,"Pass"))</f>
        <v/>
      </c>
      <c r="G37" s="110">
        <f>IF($A37="","",COUNTIFS($A$54:$A$114,$A37,$G$54:$G$114,"Fail"))</f>
        <v/>
      </c>
      <c r="H37" s="110">
        <f>IF($A37="","",COUNTIFS($A$54:$A$114,$A37,$G$54:$G$114,"Blocked"))</f>
        <v/>
      </c>
      <c r="I37" s="111">
        <f>IF(OR($A37="",N(E37)=0),"",F37/E37)</f>
        <v/>
      </c>
      <c r="J37" s="112">
        <f>IF($A37="","",COUNTIFS($A$54:$A$114,$A37,$K$54:$K$114,"CHẶN"))</f>
        <v/>
      </c>
      <c r="K37" s="113">
        <f>IF($A37="","",IF(E37=0,"Chưa có bước",IF(J37&gt;0,"CHƯA ĐẠT",IF(F37=E37,"ĐẠT",IF(G37+H37&gt;0,"CHƯA ĐẠT","ĐANG TEST")))))</f>
        <v/>
      </c>
      <c r="L37" s="94" t="inlineStr"/>
      <c r="M37" s="89" t="n"/>
      <c r="N37" s="89" t="n"/>
    </row>
    <row r="38" ht="22" customHeight="1">
      <c r="A38" s="86" t="inlineStr">
        <is>
          <t>UV-03</t>
        </is>
      </c>
      <c r="B38" s="94" t="inlineStr">
        <is>
          <t>Ứng viên</t>
        </is>
      </c>
      <c r="C38" s="109" t="inlineStr">
        <is>
          <t>Tìm việc &amp; ứng tuyển</t>
        </is>
      </c>
      <c r="D38" s="89" t="n"/>
      <c r="E38" s="110">
        <f>IF($A38="","",COUNTIF($A$54:$A$114,$A38))</f>
        <v/>
      </c>
      <c r="F38" s="110">
        <f>IF($A38="","",COUNTIFS($A$54:$A$114,$A38,$G$54:$G$114,"Pass"))</f>
        <v/>
      </c>
      <c r="G38" s="110">
        <f>IF($A38="","",COUNTIFS($A$54:$A$114,$A38,$G$54:$G$114,"Fail"))</f>
        <v/>
      </c>
      <c r="H38" s="110">
        <f>IF($A38="","",COUNTIFS($A$54:$A$114,$A38,$G$54:$G$114,"Blocked"))</f>
        <v/>
      </c>
      <c r="I38" s="111">
        <f>IF(OR($A38="",N(E38)=0),"",F38/E38)</f>
        <v/>
      </c>
      <c r="J38" s="112">
        <f>IF($A38="","",COUNTIFS($A$54:$A$114,$A38,$K$54:$K$114,"CHẶN"))</f>
        <v/>
      </c>
      <c r="K38" s="113">
        <f>IF($A38="","",IF(E38=0,"Chưa có bước",IF(J38&gt;0,"CHƯA ĐẠT",IF(F38=E38,"ĐẠT",IF(G38+H38&gt;0,"CHƯA ĐẠT","ĐANG TEST")))))</f>
        <v/>
      </c>
      <c r="L38" s="94" t="inlineStr"/>
      <c r="M38" s="89" t="n"/>
      <c r="N38" s="89" t="n"/>
    </row>
    <row r="39" ht="22" customHeight="1">
      <c r="A39" s="86" t="inlineStr">
        <is>
          <t>NTD-01</t>
        </is>
      </c>
      <c r="B39" s="94" t="inlineStr">
        <is>
          <t>Nhà tuyển dụng (DN)</t>
        </is>
      </c>
      <c r="C39" s="109" t="inlineStr">
        <is>
          <t>Đăng ký doanh nghiệp &amp; xác thực</t>
        </is>
      </c>
      <c r="D39" s="89" t="n"/>
      <c r="E39" s="110">
        <f>IF($A39="","",COUNTIF($A$54:$A$114,$A39))</f>
        <v/>
      </c>
      <c r="F39" s="110">
        <f>IF($A39="","",COUNTIFS($A$54:$A$114,$A39,$G$54:$G$114,"Pass"))</f>
        <v/>
      </c>
      <c r="G39" s="110">
        <f>IF($A39="","",COUNTIFS($A$54:$A$114,$A39,$G$54:$G$114,"Fail"))</f>
        <v/>
      </c>
      <c r="H39" s="110">
        <f>IF($A39="","",COUNTIFS($A$54:$A$114,$A39,$G$54:$G$114,"Blocked"))</f>
        <v/>
      </c>
      <c r="I39" s="111">
        <f>IF(OR($A39="",N(E39)=0),"",F39/E39)</f>
        <v/>
      </c>
      <c r="J39" s="112">
        <f>IF($A39="","",COUNTIFS($A$54:$A$114,$A39,$K$54:$K$114,"CHẶN"))</f>
        <v/>
      </c>
      <c r="K39" s="113">
        <f>IF($A39="","",IF(E39=0,"Chưa có bước",IF(J39&gt;0,"CHƯA ĐẠT",IF(F39=E39,"ĐẠT",IF(G39+H39&gt;0,"CHƯA ĐẠT","ĐANG TEST")))))</f>
        <v/>
      </c>
      <c r="L39" s="94" t="inlineStr"/>
      <c r="M39" s="89" t="n"/>
      <c r="N39" s="89" t="n"/>
    </row>
    <row r="40" ht="22" customHeight="1">
      <c r="A40" s="86" t="inlineStr">
        <is>
          <t>NTD-02</t>
        </is>
      </c>
      <c r="B40" s="94" t="inlineStr">
        <is>
          <t>Nhà tuyển dụng (DN)</t>
        </is>
      </c>
      <c r="C40" s="109" t="inlineStr">
        <is>
          <t>Đăng &amp; quản lý tin tuyển dụng</t>
        </is>
      </c>
      <c r="D40" s="89" t="n"/>
      <c r="E40" s="110">
        <f>IF($A40="","",COUNTIF($A$54:$A$114,$A40))</f>
        <v/>
      </c>
      <c r="F40" s="110">
        <f>IF($A40="","",COUNTIFS($A$54:$A$114,$A40,$G$54:$G$114,"Pass"))</f>
        <v/>
      </c>
      <c r="G40" s="110">
        <f>IF($A40="","",COUNTIFS($A$54:$A$114,$A40,$G$54:$G$114,"Fail"))</f>
        <v/>
      </c>
      <c r="H40" s="110">
        <f>IF($A40="","",COUNTIFS($A$54:$A$114,$A40,$G$54:$G$114,"Blocked"))</f>
        <v/>
      </c>
      <c r="I40" s="111">
        <f>IF(OR($A40="",N(E40)=0),"",F40/E40)</f>
        <v/>
      </c>
      <c r="J40" s="112">
        <f>IF($A40="","",COUNTIFS($A$54:$A$114,$A40,$K$54:$K$114,"CHẶN"))</f>
        <v/>
      </c>
      <c r="K40" s="113">
        <f>IF($A40="","",IF(E40=0,"Chưa có bước",IF(J40&gt;0,"CHƯA ĐẠT",IF(F40=E40,"ĐẠT",IF(G40+H40&gt;0,"CHƯA ĐẠT","ĐANG TEST")))))</f>
        <v/>
      </c>
      <c r="L40" s="94" t="inlineStr"/>
      <c r="M40" s="89" t="n"/>
      <c r="N40" s="89" t="n"/>
    </row>
    <row r="41" ht="22" customHeight="1">
      <c r="A41" s="86" t="inlineStr">
        <is>
          <t>NTD-03</t>
        </is>
      </c>
      <c r="B41" s="94" t="inlineStr">
        <is>
          <t>Nhà tuyển dụng (DN)</t>
        </is>
      </c>
      <c r="C41" s="109" t="inlineStr">
        <is>
          <t>Nhận &amp; xử lý hồ sơ ứng viên</t>
        </is>
      </c>
      <c r="D41" s="89" t="n"/>
      <c r="E41" s="110">
        <f>IF($A41="","",COUNTIF($A$54:$A$114,$A41))</f>
        <v/>
      </c>
      <c r="F41" s="110">
        <f>IF($A41="","",COUNTIFS($A$54:$A$114,$A41,$G$54:$G$114,"Pass"))</f>
        <v/>
      </c>
      <c r="G41" s="110">
        <f>IF($A41="","",COUNTIFS($A$54:$A$114,$A41,$G$54:$G$114,"Fail"))</f>
        <v/>
      </c>
      <c r="H41" s="110">
        <f>IF($A41="","",COUNTIFS($A$54:$A$114,$A41,$G$54:$G$114,"Blocked"))</f>
        <v/>
      </c>
      <c r="I41" s="111">
        <f>IF(OR($A41="",N(E41)=0),"",F41/E41)</f>
        <v/>
      </c>
      <c r="J41" s="112">
        <f>IF($A41="","",COUNTIFS($A$54:$A$114,$A41,$K$54:$K$114,"CHẶN"))</f>
        <v/>
      </c>
      <c r="K41" s="113">
        <f>IF($A41="","",IF(E41=0,"Chưa có bước",IF(J41&gt;0,"CHƯA ĐẠT",IF(F41=E41,"ĐẠT",IF(G41+H41&gt;0,"CHƯA ĐẠT","ĐANG TEST")))))</f>
        <v/>
      </c>
      <c r="L41" s="94" t="inlineStr"/>
      <c r="M41" s="89" t="n"/>
      <c r="N41" s="89" t="n"/>
    </row>
    <row r="42" ht="22" customHeight="1">
      <c r="A42" s="86" t="inlineStr">
        <is>
          <t>HR-01</t>
        </is>
      </c>
      <c r="B42" s="94" t="inlineStr">
        <is>
          <t>HR</t>
        </is>
      </c>
      <c r="C42" s="109" t="inlineStr">
        <is>
          <t>Tài khoản HR của doanh nghiệp</t>
        </is>
      </c>
      <c r="D42" s="89" t="n"/>
      <c r="E42" s="110">
        <f>IF($A42="","",COUNTIF($A$54:$A$114,$A42))</f>
        <v/>
      </c>
      <c r="F42" s="110">
        <f>IF($A42="","",COUNTIFS($A$54:$A$114,$A42,$G$54:$G$114,"Pass"))</f>
        <v/>
      </c>
      <c r="G42" s="110">
        <f>IF($A42="","",COUNTIFS($A$54:$A$114,$A42,$G$54:$G$114,"Fail"))</f>
        <v/>
      </c>
      <c r="H42" s="110">
        <f>IF($A42="","",COUNTIFS($A$54:$A$114,$A42,$G$54:$G$114,"Blocked"))</f>
        <v/>
      </c>
      <c r="I42" s="111">
        <f>IF(OR($A42="",N(E42)=0),"",F42/E42)</f>
        <v/>
      </c>
      <c r="J42" s="112">
        <f>IF($A42="","",COUNTIFS($A$54:$A$114,$A42,$K$54:$K$114,"CHẶN"))</f>
        <v/>
      </c>
      <c r="K42" s="113">
        <f>IF($A42="","",IF(E42=0,"Chưa có bước",IF(J42&gt;0,"CHƯA ĐẠT",IF(F42=E42,"ĐẠT",IF(G42+H42&gt;0,"CHƯA ĐẠT","ĐANG TEST")))))</f>
        <v/>
      </c>
      <c r="L42" s="94" t="inlineStr"/>
      <c r="M42" s="89" t="n"/>
      <c r="N42" s="89" t="n"/>
    </row>
    <row r="43" ht="22" customHeight="1">
      <c r="A43" s="86" t="inlineStr">
        <is>
          <t>AD-01</t>
        </is>
      </c>
      <c r="B43" s="94" t="inlineStr">
        <is>
          <t>Quản trị viên</t>
        </is>
      </c>
      <c r="C43" s="109" t="inlineStr">
        <is>
          <t>Kiểm duyệt &amp; vận hành</t>
        </is>
      </c>
      <c r="D43" s="89" t="n"/>
      <c r="E43" s="110">
        <f>IF($A43="","",COUNTIF($A$54:$A$114,$A43))</f>
        <v/>
      </c>
      <c r="F43" s="110">
        <f>IF($A43="","",COUNTIFS($A$54:$A$114,$A43,$G$54:$G$114,"Pass"))</f>
        <v/>
      </c>
      <c r="G43" s="110">
        <f>IF($A43="","",COUNTIFS($A$54:$A$114,$A43,$G$54:$G$114,"Fail"))</f>
        <v/>
      </c>
      <c r="H43" s="110">
        <f>IF($A43="","",COUNTIFS($A$54:$A$114,$A43,$G$54:$G$114,"Blocked"))</f>
        <v/>
      </c>
      <c r="I43" s="111">
        <f>IF(OR($A43="",N(E43)=0),"",F43/E43)</f>
        <v/>
      </c>
      <c r="J43" s="112">
        <f>IF($A43="","",COUNTIFS($A$54:$A$114,$A43,$K$54:$K$114,"CHẶN"))</f>
        <v/>
      </c>
      <c r="K43" s="113">
        <f>IF($A43="","",IF(E43=0,"Chưa có bước",IF(J43&gt;0,"CHƯA ĐẠT",IF(F43=E43,"ĐẠT",IF(G43+H43&gt;0,"CHƯA ĐẠT","ĐANG TEST")))))</f>
        <v/>
      </c>
      <c r="L43" s="94" t="inlineStr"/>
      <c r="M43" s="89" t="n"/>
      <c r="N43" s="89" t="n"/>
    </row>
    <row r="44" ht="22" customHeight="1">
      <c r="A44" s="86" t="n"/>
      <c r="B44" s="94" t="n"/>
      <c r="C44" s="109" t="n"/>
      <c r="D44" s="89" t="n"/>
      <c r="E44" s="110">
        <f>IF($A44="","",COUNTIF($A$54:$A$114,$A44))</f>
        <v/>
      </c>
      <c r="F44" s="110">
        <f>IF($A44="","",COUNTIFS($A$54:$A$114,$A44,$G$54:$G$114,"Pass"))</f>
        <v/>
      </c>
      <c r="G44" s="110">
        <f>IF($A44="","",COUNTIFS($A$54:$A$114,$A44,$G$54:$G$114,"Fail"))</f>
        <v/>
      </c>
      <c r="H44" s="110">
        <f>IF($A44="","",COUNTIFS($A$54:$A$114,$A44,$G$54:$G$114,"Blocked"))</f>
        <v/>
      </c>
      <c r="I44" s="111">
        <f>IF(OR($A44="",N(E44)=0),"",F44/E44)</f>
        <v/>
      </c>
      <c r="J44" s="112">
        <f>IF($A44="","",COUNTIFS($A$54:$A$114,$A44,$K$54:$K$114,"CHẶN"))</f>
        <v/>
      </c>
      <c r="K44" s="113">
        <f>IF($A44="","",IF(E44=0,"Chưa có bước",IF(J44&gt;0,"CHƯA ĐẠT",IF(F44=E44,"ĐẠT",IF(G44+H44&gt;0,"CHƯA ĐẠT","ĐANG TEST")))))</f>
        <v/>
      </c>
      <c r="L44" s="94" t="inlineStr"/>
      <c r="M44" s="89" t="n"/>
      <c r="N44" s="89" t="n"/>
    </row>
    <row r="45" ht="22" customHeight="1">
      <c r="A45" s="86" t="n"/>
      <c r="B45" s="94" t="n"/>
      <c r="C45" s="109" t="n"/>
      <c r="D45" s="89" t="n"/>
      <c r="E45" s="110">
        <f>IF($A45="","",COUNTIF($A$54:$A$114,$A45))</f>
        <v/>
      </c>
      <c r="F45" s="110">
        <f>IF($A45="","",COUNTIFS($A$54:$A$114,$A45,$G$54:$G$114,"Pass"))</f>
        <v/>
      </c>
      <c r="G45" s="110">
        <f>IF($A45="","",COUNTIFS($A$54:$A$114,$A45,$G$54:$G$114,"Fail"))</f>
        <v/>
      </c>
      <c r="H45" s="110">
        <f>IF($A45="","",COUNTIFS($A$54:$A$114,$A45,$G$54:$G$114,"Blocked"))</f>
        <v/>
      </c>
      <c r="I45" s="111">
        <f>IF(OR($A45="",N(E45)=0),"",F45/E45)</f>
        <v/>
      </c>
      <c r="J45" s="112">
        <f>IF($A45="","",COUNTIFS($A$54:$A$114,$A45,$K$54:$K$114,"CHẶN"))</f>
        <v/>
      </c>
      <c r="K45" s="113">
        <f>IF($A45="","",IF(E45=0,"Chưa có bước",IF(J45&gt;0,"CHƯA ĐẠT",IF(F45=E45,"ĐẠT",IF(G45+H45&gt;0,"CHƯA ĐẠT","ĐANG TEST")))))</f>
        <v/>
      </c>
      <c r="L45" s="94" t="inlineStr"/>
      <c r="M45" s="89" t="n"/>
      <c r="N45" s="89" t="n"/>
    </row>
    <row r="46" ht="22" customHeight="1">
      <c r="A46" s="86" t="n"/>
      <c r="B46" s="94" t="n"/>
      <c r="C46" s="109" t="n"/>
      <c r="D46" s="89" t="n"/>
      <c r="E46" s="110">
        <f>IF($A46="","",COUNTIF($A$54:$A$114,$A46))</f>
        <v/>
      </c>
      <c r="F46" s="110">
        <f>IF($A46="","",COUNTIFS($A$54:$A$114,$A46,$G$54:$G$114,"Pass"))</f>
        <v/>
      </c>
      <c r="G46" s="110">
        <f>IF($A46="","",COUNTIFS($A$54:$A$114,$A46,$G$54:$G$114,"Fail"))</f>
        <v/>
      </c>
      <c r="H46" s="110">
        <f>IF($A46="","",COUNTIFS($A$54:$A$114,$A46,$G$54:$G$114,"Blocked"))</f>
        <v/>
      </c>
      <c r="I46" s="111">
        <f>IF(OR($A46="",N(E46)=0),"",F46/E46)</f>
        <v/>
      </c>
      <c r="J46" s="112">
        <f>IF($A46="","",COUNTIFS($A$54:$A$114,$A46,$K$54:$K$114,"CHẶN"))</f>
        <v/>
      </c>
      <c r="K46" s="113">
        <f>IF($A46="","",IF(E46=0,"Chưa có bước",IF(J46&gt;0,"CHƯA ĐẠT",IF(F46=E46,"ĐẠT",IF(G46+H46&gt;0,"CHƯA ĐẠT","ĐANG TEST")))))</f>
        <v/>
      </c>
      <c r="L46" s="94" t="inlineStr"/>
      <c r="M46" s="89" t="n"/>
      <c r="N46" s="89" t="n"/>
    </row>
    <row r="47" ht="22" customHeight="1">
      <c r="A47" s="86" t="n"/>
      <c r="B47" s="94" t="n"/>
      <c r="C47" s="109" t="n"/>
      <c r="D47" s="89" t="n"/>
      <c r="E47" s="110">
        <f>IF($A47="","",COUNTIF($A$54:$A$114,$A47))</f>
        <v/>
      </c>
      <c r="F47" s="110">
        <f>IF($A47="","",COUNTIFS($A$54:$A$114,$A47,$G$54:$G$114,"Pass"))</f>
        <v/>
      </c>
      <c r="G47" s="110">
        <f>IF($A47="","",COUNTIFS($A$54:$A$114,$A47,$G$54:$G$114,"Fail"))</f>
        <v/>
      </c>
      <c r="H47" s="110">
        <f>IF($A47="","",COUNTIFS($A$54:$A$114,$A47,$G$54:$G$114,"Blocked"))</f>
        <v/>
      </c>
      <c r="I47" s="111">
        <f>IF(OR($A47="",N(E47)=0),"",F47/E47)</f>
        <v/>
      </c>
      <c r="J47" s="112">
        <f>IF($A47="","",COUNTIFS($A$54:$A$114,$A47,$K$54:$K$114,"CHẶN"))</f>
        <v/>
      </c>
      <c r="K47" s="113">
        <f>IF($A47="","",IF(E47=0,"Chưa có bước",IF(J47&gt;0,"CHƯA ĐẠT",IF(F47=E47,"ĐẠT",IF(G47+H47&gt;0,"CHƯA ĐẠT","ĐANG TEST")))))</f>
        <v/>
      </c>
      <c r="L47" s="94" t="inlineStr"/>
      <c r="M47" s="89" t="n"/>
      <c r="N47" s="89" t="n"/>
    </row>
    <row r="48" ht="22" customHeight="1">
      <c r="A48" s="86" t="n"/>
      <c r="B48" s="94" t="n"/>
      <c r="C48" s="109" t="n"/>
      <c r="D48" s="89" t="n"/>
      <c r="E48" s="110">
        <f>IF($A48="","",COUNTIF($A$54:$A$114,$A48))</f>
        <v/>
      </c>
      <c r="F48" s="110">
        <f>IF($A48="","",COUNTIFS($A$54:$A$114,$A48,$G$54:$G$114,"Pass"))</f>
        <v/>
      </c>
      <c r="G48" s="110">
        <f>IF($A48="","",COUNTIFS($A$54:$A$114,$A48,$G$54:$G$114,"Fail"))</f>
        <v/>
      </c>
      <c r="H48" s="110">
        <f>IF($A48="","",COUNTIFS($A$54:$A$114,$A48,$G$54:$G$114,"Blocked"))</f>
        <v/>
      </c>
      <c r="I48" s="111">
        <f>IF(OR($A48="",N(E48)=0),"",F48/E48)</f>
        <v/>
      </c>
      <c r="J48" s="112">
        <f>IF($A48="","",COUNTIFS($A$54:$A$114,$A48,$K$54:$K$114,"CHẶN"))</f>
        <v/>
      </c>
      <c r="K48" s="113">
        <f>IF($A48="","",IF(E48=0,"Chưa có bước",IF(J48&gt;0,"CHƯA ĐẠT",IF(F48=E48,"ĐẠT",IF(G48+H48&gt;0,"CHƯA ĐẠT","ĐANG TEST")))))</f>
        <v/>
      </c>
      <c r="L48" s="94" t="inlineStr"/>
      <c r="M48" s="89" t="n"/>
      <c r="N48" s="89" t="n"/>
    </row>
    <row r="49" ht="22" customHeight="1">
      <c r="A49" s="86" t="n"/>
      <c r="B49" s="94" t="n"/>
      <c r="C49" s="109" t="n"/>
      <c r="D49" s="89" t="n"/>
      <c r="E49" s="110">
        <f>IF($A49="","",COUNTIF($A$54:$A$114,$A49))</f>
        <v/>
      </c>
      <c r="F49" s="110">
        <f>IF($A49="","",COUNTIFS($A$54:$A$114,$A49,$G$54:$G$114,"Pass"))</f>
        <v/>
      </c>
      <c r="G49" s="110">
        <f>IF($A49="","",COUNTIFS($A$54:$A$114,$A49,$G$54:$G$114,"Fail"))</f>
        <v/>
      </c>
      <c r="H49" s="110">
        <f>IF($A49="","",COUNTIFS($A$54:$A$114,$A49,$G$54:$G$114,"Blocked"))</f>
        <v/>
      </c>
      <c r="I49" s="111">
        <f>IF(OR($A49="",N(E49)=0),"",F49/E49)</f>
        <v/>
      </c>
      <c r="J49" s="112">
        <f>IF($A49="","",COUNTIFS($A$54:$A$114,$A49,$K$54:$K$114,"CHẶN"))</f>
        <v/>
      </c>
      <c r="K49" s="113">
        <f>IF($A49="","",IF(E49=0,"Chưa có bước",IF(J49&gt;0,"CHƯA ĐẠT",IF(F49=E49,"ĐẠT",IF(G49+H49&gt;0,"CHƯA ĐẠT","ĐANG TEST")))))</f>
        <v/>
      </c>
      <c r="L49" s="94" t="inlineStr"/>
      <c r="M49" s="89" t="n"/>
      <c r="N49" s="89" t="n"/>
    </row>
    <row r="51" ht="22" customHeight="1">
      <c r="A51" s="11" t="inlineStr">
        <is>
          <t>IV. CHECKLIST CHI TIẾT TỪNG BƯỚC (Tester nhập ô nền vàng)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8" customHeight="1">
      <c r="A52" s="18" t="inlineStr">
        <is>
          <t>Kết quả: Pass / Fail / Blocked / Chưa test. Bước Fail hoặc Blocked phải ghi BUG_ID (khớp cột BUG_ID ở 05_Lỗi_Tester) → Mức độ, Trạng thái lỗi, Chặn? tự điền. Bằng chứng: link ảnh/video.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</row>
    <row r="53" ht="32" customHeight="1">
      <c r="A53" s="90" t="inlineStr">
        <is>
          <t>Mã HT</t>
        </is>
      </c>
      <c r="B53" s="90" t="inlineStr">
        <is>
          <t>Bước</t>
        </is>
      </c>
      <c r="C53" s="90" t="inlineStr">
        <is>
          <t>Vai trò (tự điền)</t>
        </is>
      </c>
      <c r="D53" s="90" t="inlineStr">
        <is>
          <t>Thao tác</t>
        </is>
      </c>
      <c r="E53" s="90" t="inlineStr">
        <is>
          <t>Kết quả mong đợi</t>
        </is>
      </c>
      <c r="F53" s="90" t="inlineStr">
        <is>
          <t>TC_ID</t>
        </is>
      </c>
      <c r="G53" s="90" t="inlineStr">
        <is>
          <t>Kết quả</t>
        </is>
      </c>
      <c r="H53" s="90" t="inlineStr">
        <is>
          <t>BUG_ID</t>
        </is>
      </c>
      <c r="I53" s="90" t="inlineStr">
        <is>
          <t>Mức độ lỗi</t>
        </is>
      </c>
      <c r="J53" s="90" t="inlineStr">
        <is>
          <t>Trạng thái lỗi</t>
        </is>
      </c>
      <c r="K53" s="90" t="inlineStr">
        <is>
          <t>Chặn?</t>
        </is>
      </c>
      <c r="L53" s="90" t="inlineStr">
        <is>
          <t>Bằng chứng</t>
        </is>
      </c>
      <c r="M53" s="90" t="inlineStr">
        <is>
          <t>Người test</t>
        </is>
      </c>
      <c r="N53" s="90" t="inlineStr">
        <is>
          <t>Ngày test</t>
        </is>
      </c>
    </row>
    <row r="54" ht="30" customHeight="1">
      <c r="A54" s="114" t="inlineStr">
        <is>
          <t>KV-01</t>
        </is>
      </c>
      <c r="B54" s="104" t="n">
        <v>1</v>
      </c>
      <c r="C54" s="115">
        <f>IF($A54="","",IFERROR(VLOOKUP($A54,$A$35:$B$49,2,0),"⚠ Sai Mã HT"))</f>
        <v/>
      </c>
      <c r="D54" s="94" t="inlineStr">
        <is>
          <t>Truy cập trang chủ</t>
        </is>
      </c>
      <c r="E54" s="94" t="inlineStr">
        <is>
          <t>Trang tải đủ, không lỗi hiển thị (PC + Mobile)</t>
        </is>
      </c>
      <c r="F54" s="104" t="n"/>
      <c r="G54" s="114" t="inlineStr">
        <is>
          <t>Chưa test</t>
        </is>
      </c>
      <c r="H54" s="104" t="n"/>
      <c r="I54" s="116">
        <f>IF($H54="","",IFERROR(INDEX('z_Loi'!$L:$L,MATCH($H54,'z_Loi'!$E:$E,0)),"Không tìm thấy"))</f>
        <v/>
      </c>
      <c r="J54" s="116">
        <f>IF($H54="","",IFERROR(INDEX('z_Loi'!$U:$U,MATCH($H54,'z_Loi'!$E:$E,0)),""))</f>
        <v/>
      </c>
      <c r="K54" s="117">
        <f>IF($H54="","",IF(AND(OR(I54="Critical",I54="High"),OR(J54="Open",J54="Chưa gửi Dev")),"CHẶN",""))</f>
        <v/>
      </c>
      <c r="L54" s="118" t="n"/>
      <c r="M54" s="119" t="n"/>
      <c r="N54" s="120" t="n"/>
    </row>
    <row r="55" ht="30" customHeight="1">
      <c r="A55" s="114" t="inlineStr">
        <is>
          <t>KV-01</t>
        </is>
      </c>
      <c r="B55" s="104" t="n">
        <v>2</v>
      </c>
      <c r="C55" s="115">
        <f>IF($A55="","",IFERROR(VLOOKUP($A55,$A$35:$B$49,2,0),"⚠ Sai Mã HT"))</f>
        <v/>
      </c>
      <c r="D55" s="94" t="inlineStr">
        <is>
          <t>Tìm việc theo từ khóa / ngành / địa điểm</t>
        </is>
      </c>
      <c r="E55" s="94" t="inlineStr">
        <is>
          <t>Trả về danh sách tin đúng điều kiện</t>
        </is>
      </c>
      <c r="F55" s="104" t="n"/>
      <c r="G55" s="114" t="inlineStr">
        <is>
          <t>Chưa test</t>
        </is>
      </c>
      <c r="H55" s="104" t="n"/>
      <c r="I55" s="116">
        <f>IF($H55="","",IFERROR(INDEX('z_Loi'!$L:$L,MATCH($H55,'z_Loi'!$E:$E,0)),"Không tìm thấy"))</f>
        <v/>
      </c>
      <c r="J55" s="116">
        <f>IF($H55="","",IFERROR(INDEX('z_Loi'!$U:$U,MATCH($H55,'z_Loi'!$E:$E,0)),""))</f>
        <v/>
      </c>
      <c r="K55" s="117">
        <f>IF($H55="","",IF(AND(OR(I55="Critical",I55="High"),OR(J55="Open",J55="Chưa gửi Dev")),"CHẶN",""))</f>
        <v/>
      </c>
      <c r="L55" s="118" t="n"/>
      <c r="M55" s="119" t="n"/>
      <c r="N55" s="120" t="n"/>
    </row>
    <row r="56" ht="30" customHeight="1">
      <c r="A56" s="114" t="inlineStr">
        <is>
          <t>KV-01</t>
        </is>
      </c>
      <c r="B56" s="104" t="n">
        <v>3</v>
      </c>
      <c r="C56" s="115">
        <f>IF($A56="","",IFERROR(VLOOKUP($A56,$A$35:$B$49,2,0),"⚠ Sai Mã HT"))</f>
        <v/>
      </c>
      <c r="D56" s="94" t="inlineStr">
        <is>
          <t>Lọc &amp; sắp xếp kết quả</t>
        </is>
      </c>
      <c r="E56" s="94" t="inlineStr">
        <is>
          <t>Bộ lọc lương, kinh nghiệm, hình thức hoạt động đúng</t>
        </is>
      </c>
      <c r="F56" s="104" t="n"/>
      <c r="G56" s="114" t="inlineStr">
        <is>
          <t>Chưa test</t>
        </is>
      </c>
      <c r="H56" s="104" t="n"/>
      <c r="I56" s="116">
        <f>IF($H56="","",IFERROR(INDEX('z_Loi'!$L:$L,MATCH($H56,'z_Loi'!$E:$E,0)),"Không tìm thấy"))</f>
        <v/>
      </c>
      <c r="J56" s="116">
        <f>IF($H56="","",IFERROR(INDEX('z_Loi'!$U:$U,MATCH($H56,'z_Loi'!$E:$E,0)),""))</f>
        <v/>
      </c>
      <c r="K56" s="117">
        <f>IF($H56="","",IF(AND(OR(I56="Critical",I56="High"),OR(J56="Open",J56="Chưa gửi Dev")),"CHẶN",""))</f>
        <v/>
      </c>
      <c r="L56" s="118" t="n"/>
      <c r="M56" s="119" t="n"/>
      <c r="N56" s="120" t="n"/>
    </row>
    <row r="57" ht="30" customHeight="1">
      <c r="A57" s="114" t="inlineStr">
        <is>
          <t>KV-01</t>
        </is>
      </c>
      <c r="B57" s="104" t="n">
        <v>4</v>
      </c>
      <c r="C57" s="115">
        <f>IF($A57="","",IFERROR(VLOOKUP($A57,$A$35:$B$49,2,0),"⚠ Sai Mã HT"))</f>
        <v/>
      </c>
      <c r="D57" s="94" t="inlineStr">
        <is>
          <t>Xem chi tiết tin tuyển dụng</t>
        </is>
      </c>
      <c r="E57" s="94" t="inlineStr">
        <is>
          <t>Hiển thị đủ mô tả, quyền lợi, thông tin công ty</t>
        </is>
      </c>
      <c r="F57" s="104" t="n"/>
      <c r="G57" s="114" t="inlineStr">
        <is>
          <t>Chưa test</t>
        </is>
      </c>
      <c r="H57" s="104" t="n"/>
      <c r="I57" s="116">
        <f>IF($H57="","",IFERROR(INDEX('z_Loi'!$L:$L,MATCH($H57,'z_Loi'!$E:$E,0)),"Không tìm thấy"))</f>
        <v/>
      </c>
      <c r="J57" s="116">
        <f>IF($H57="","",IFERROR(INDEX('z_Loi'!$U:$U,MATCH($H57,'z_Loi'!$E:$E,0)),""))</f>
        <v/>
      </c>
      <c r="K57" s="117">
        <f>IF($H57="","",IF(AND(OR(I57="Critical",I57="High"),OR(J57="Open",J57="Chưa gửi Dev")),"CHẶN",""))</f>
        <v/>
      </c>
      <c r="L57" s="118" t="n"/>
      <c r="M57" s="119" t="n"/>
      <c r="N57" s="120" t="n"/>
    </row>
    <row r="58" ht="30" customHeight="1">
      <c r="A58" s="114" t="inlineStr">
        <is>
          <t>KV-01</t>
        </is>
      </c>
      <c r="B58" s="104" t="n">
        <v>5</v>
      </c>
      <c r="C58" s="115">
        <f>IF($A58="","",IFERROR(VLOOKUP($A58,$A$35:$B$49,2,0),"⚠ Sai Mã HT"))</f>
        <v/>
      </c>
      <c r="D58" s="94" t="inlineStr">
        <is>
          <t>Bấm Ứng tuyển khi chưa đăng nhập</t>
        </is>
      </c>
      <c r="E58" s="94" t="inlineStr">
        <is>
          <t>Chuyển sang đăng nhập/đăng ký, quay lại đúng tin</t>
        </is>
      </c>
      <c r="F58" s="104" t="n"/>
      <c r="G58" s="114" t="inlineStr">
        <is>
          <t>Chưa test</t>
        </is>
      </c>
      <c r="H58" s="104" t="n"/>
      <c r="I58" s="116">
        <f>IF($H58="","",IFERROR(INDEX('z_Loi'!$L:$L,MATCH($H58,'z_Loi'!$E:$E,0)),"Không tìm thấy"))</f>
        <v/>
      </c>
      <c r="J58" s="116">
        <f>IF($H58="","",IFERROR(INDEX('z_Loi'!$U:$U,MATCH($H58,'z_Loi'!$E:$E,0)),""))</f>
        <v/>
      </c>
      <c r="K58" s="117">
        <f>IF($H58="","",IF(AND(OR(I58="Critical",I58="High"),OR(J58="Open",J58="Chưa gửi Dev")),"CHẶN",""))</f>
        <v/>
      </c>
      <c r="L58" s="118" t="n"/>
      <c r="M58" s="119" t="n"/>
      <c r="N58" s="120" t="n"/>
    </row>
    <row r="59" ht="30" customHeight="1">
      <c r="A59" s="114" t="inlineStr">
        <is>
          <t>UV-01</t>
        </is>
      </c>
      <c r="B59" s="104" t="n">
        <v>1</v>
      </c>
      <c r="C59" s="115">
        <f>IF($A59="","",IFERROR(VLOOKUP($A59,$A$35:$B$49,2,0),"⚠ Sai Mã HT"))</f>
        <v/>
      </c>
      <c r="D59" s="94" t="inlineStr">
        <is>
          <t>Đăng ký tài khoản ứng viên</t>
        </is>
      </c>
      <c r="E59" s="94" t="inlineStr">
        <is>
          <t>Tạo tài khoản thành công, validate dữ liệu đúng</t>
        </is>
      </c>
      <c r="F59" s="104" t="n"/>
      <c r="G59" s="114" t="inlineStr">
        <is>
          <t>Chưa test</t>
        </is>
      </c>
      <c r="H59" s="104" t="n"/>
      <c r="I59" s="116">
        <f>IF($H59="","",IFERROR(INDEX('z_Loi'!$L:$L,MATCH($H59,'z_Loi'!$E:$E,0)),"Không tìm thấy"))</f>
        <v/>
      </c>
      <c r="J59" s="116">
        <f>IF($H59="","",IFERROR(INDEX('z_Loi'!$U:$U,MATCH($H59,'z_Loi'!$E:$E,0)),""))</f>
        <v/>
      </c>
      <c r="K59" s="117">
        <f>IF($H59="","",IF(AND(OR(I59="Critical",I59="High"),OR(J59="Open",J59="Chưa gửi Dev")),"CHẶN",""))</f>
        <v/>
      </c>
      <c r="L59" s="118" t="n"/>
      <c r="M59" s="119" t="n"/>
      <c r="N59" s="120" t="n"/>
    </row>
    <row r="60" ht="30" customHeight="1">
      <c r="A60" s="114" t="inlineStr">
        <is>
          <t>UV-01</t>
        </is>
      </c>
      <c r="B60" s="104" t="n">
        <v>2</v>
      </c>
      <c r="C60" s="115">
        <f>IF($A60="","",IFERROR(VLOOKUP($A60,$A$35:$B$49,2,0),"⚠ Sai Mã HT"))</f>
        <v/>
      </c>
      <c r="D60" s="94" t="inlineStr">
        <is>
          <t>Xác thực email / OTP</t>
        </is>
      </c>
      <c r="E60" s="94" t="inlineStr">
        <is>
          <t>Nhận mã, xác thực thành công</t>
        </is>
      </c>
      <c r="F60" s="104" t="n"/>
      <c r="G60" s="114" t="inlineStr">
        <is>
          <t>Chưa test</t>
        </is>
      </c>
      <c r="H60" s="104" t="n"/>
      <c r="I60" s="116">
        <f>IF($H60="","",IFERROR(INDEX('z_Loi'!$L:$L,MATCH($H60,'z_Loi'!$E:$E,0)),"Không tìm thấy"))</f>
        <v/>
      </c>
      <c r="J60" s="116">
        <f>IF($H60="","",IFERROR(INDEX('z_Loi'!$U:$U,MATCH($H60,'z_Loi'!$E:$E,0)),""))</f>
        <v/>
      </c>
      <c r="K60" s="117">
        <f>IF($H60="","",IF(AND(OR(I60="Critical",I60="High"),OR(J60="Open",J60="Chưa gửi Dev")),"CHẶN",""))</f>
        <v/>
      </c>
      <c r="L60" s="118" t="n"/>
      <c r="M60" s="119" t="n"/>
      <c r="N60" s="120" t="n"/>
    </row>
    <row r="61" ht="30" customHeight="1">
      <c r="A61" s="114" t="inlineStr">
        <is>
          <t>UV-01</t>
        </is>
      </c>
      <c r="B61" s="104" t="n">
        <v>3</v>
      </c>
      <c r="C61" s="115">
        <f>IF($A61="","",IFERROR(VLOOKUP($A61,$A$35:$B$49,2,0),"⚠ Sai Mã HT"))</f>
        <v/>
      </c>
      <c r="D61" s="94" t="inlineStr">
        <is>
          <t>Đăng nhập / đăng xuất</t>
        </is>
      </c>
      <c r="E61" s="94" t="inlineStr">
        <is>
          <t>Đăng nhập đúng quyền ứng viên</t>
        </is>
      </c>
      <c r="F61" s="104" t="n"/>
      <c r="G61" s="114" t="inlineStr">
        <is>
          <t>Chưa test</t>
        </is>
      </c>
      <c r="H61" s="104" t="n"/>
      <c r="I61" s="116">
        <f>IF($H61="","",IFERROR(INDEX('z_Loi'!$L:$L,MATCH($H61,'z_Loi'!$E:$E,0)),"Không tìm thấy"))</f>
        <v/>
      </c>
      <c r="J61" s="116">
        <f>IF($H61="","",IFERROR(INDEX('z_Loi'!$U:$U,MATCH($H61,'z_Loi'!$E:$E,0)),""))</f>
        <v/>
      </c>
      <c r="K61" s="117">
        <f>IF($H61="","",IF(AND(OR(I61="Critical",I61="High"),OR(J61="Open",J61="Chưa gửi Dev")),"CHẶN",""))</f>
        <v/>
      </c>
      <c r="L61" s="118" t="n"/>
      <c r="M61" s="119" t="n"/>
      <c r="N61" s="120" t="n"/>
    </row>
    <row r="62" ht="30" customHeight="1">
      <c r="A62" s="114" t="inlineStr">
        <is>
          <t>UV-01</t>
        </is>
      </c>
      <c r="B62" s="104" t="n">
        <v>4</v>
      </c>
      <c r="C62" s="115">
        <f>IF($A62="","",IFERROR(VLOOKUP($A62,$A$35:$B$49,2,0),"⚠ Sai Mã HT"))</f>
        <v/>
      </c>
      <c r="D62" s="94" t="inlineStr">
        <is>
          <t>Quên mật khẩu</t>
        </is>
      </c>
      <c r="E62" s="94" t="inlineStr">
        <is>
          <t>Nhận link/OTP, đổi mật khẩu thành công</t>
        </is>
      </c>
      <c r="F62" s="104" t="n"/>
      <c r="G62" s="114" t="inlineStr">
        <is>
          <t>Chưa test</t>
        </is>
      </c>
      <c r="H62" s="104" t="n"/>
      <c r="I62" s="116">
        <f>IF($H62="","",IFERROR(INDEX('z_Loi'!$L:$L,MATCH($H62,'z_Loi'!$E:$E,0)),"Không tìm thấy"))</f>
        <v/>
      </c>
      <c r="J62" s="116">
        <f>IF($H62="","",IFERROR(INDEX('z_Loi'!$U:$U,MATCH($H62,'z_Loi'!$E:$E,0)),""))</f>
        <v/>
      </c>
      <c r="K62" s="117">
        <f>IF($H62="","",IF(AND(OR(I62="Critical",I62="High"),OR(J62="Open",J62="Chưa gửi Dev")),"CHẶN",""))</f>
        <v/>
      </c>
      <c r="L62" s="118" t="n"/>
      <c r="M62" s="119" t="n"/>
      <c r="N62" s="120" t="n"/>
    </row>
    <row r="63" ht="30" customHeight="1">
      <c r="A63" s="114" t="inlineStr">
        <is>
          <t>UV-02</t>
        </is>
      </c>
      <c r="B63" s="104" t="n">
        <v>1</v>
      </c>
      <c r="C63" s="115">
        <f>IF($A63="","",IFERROR(VLOOKUP($A63,$A$35:$B$49,2,0),"⚠ Sai Mã HT"))</f>
        <v/>
      </c>
      <c r="D63" s="94" t="inlineStr">
        <is>
          <t>Cập nhật thông tin cá nhân</t>
        </is>
      </c>
      <c r="E63" s="94" t="inlineStr">
        <is>
          <t>Lưu đúng, hiển thị lại đúng</t>
        </is>
      </c>
      <c r="F63" s="104" t="n"/>
      <c r="G63" s="114" t="inlineStr">
        <is>
          <t>Chưa test</t>
        </is>
      </c>
      <c r="H63" s="104" t="n"/>
      <c r="I63" s="116">
        <f>IF($H63="","",IFERROR(INDEX('z_Loi'!$L:$L,MATCH($H63,'z_Loi'!$E:$E,0)),"Không tìm thấy"))</f>
        <v/>
      </c>
      <c r="J63" s="116">
        <f>IF($H63="","",IFERROR(INDEX('z_Loi'!$U:$U,MATCH($H63,'z_Loi'!$E:$E,0)),""))</f>
        <v/>
      </c>
      <c r="K63" s="117">
        <f>IF($H63="","",IF(AND(OR(I63="Critical",I63="High"),OR(J63="Open",J63="Chưa gửi Dev")),"CHẶN",""))</f>
        <v/>
      </c>
      <c r="L63" s="118" t="n"/>
      <c r="M63" s="119" t="n"/>
      <c r="N63" s="120" t="n"/>
    </row>
    <row r="64" ht="30" customHeight="1">
      <c r="A64" s="114" t="inlineStr">
        <is>
          <t>UV-02</t>
        </is>
      </c>
      <c r="B64" s="104" t="n">
        <v>2</v>
      </c>
      <c r="C64" s="115">
        <f>IF($A64="","",IFERROR(VLOOKUP($A64,$A$35:$B$49,2,0),"⚠ Sai Mã HT"))</f>
        <v/>
      </c>
      <c r="D64" s="94" t="inlineStr">
        <is>
          <t>Tạo CV từ mẫu có sẵn</t>
        </is>
      </c>
      <c r="E64" s="94" t="inlineStr">
        <is>
          <t>Tạo/sửa/xem trước/tải PDF được</t>
        </is>
      </c>
      <c r="F64" s="104" t="n"/>
      <c r="G64" s="114" t="inlineStr">
        <is>
          <t>Chưa test</t>
        </is>
      </c>
      <c r="H64" s="104" t="n"/>
      <c r="I64" s="116">
        <f>IF($H64="","",IFERROR(INDEX('z_Loi'!$L:$L,MATCH($H64,'z_Loi'!$E:$E,0)),"Không tìm thấy"))</f>
        <v/>
      </c>
      <c r="J64" s="116">
        <f>IF($H64="","",IFERROR(INDEX('z_Loi'!$U:$U,MATCH($H64,'z_Loi'!$E:$E,0)),""))</f>
        <v/>
      </c>
      <c r="K64" s="117">
        <f>IF($H64="","",IF(AND(OR(I64="Critical",I64="High"),OR(J64="Open",J64="Chưa gửi Dev")),"CHẶN",""))</f>
        <v/>
      </c>
      <c r="L64" s="118" t="n"/>
      <c r="M64" s="119" t="n"/>
      <c r="N64" s="120" t="n"/>
    </row>
    <row r="65" ht="30" customHeight="1">
      <c r="A65" s="114" t="inlineStr">
        <is>
          <t>UV-02</t>
        </is>
      </c>
      <c r="B65" s="104" t="n">
        <v>3</v>
      </c>
      <c r="C65" s="115">
        <f>IF($A65="","",IFERROR(VLOOKUP($A65,$A$35:$B$49,2,0),"⚠ Sai Mã HT"))</f>
        <v/>
      </c>
      <c r="D65" s="94" t="inlineStr">
        <is>
          <t>Tải CV có sẵn lên</t>
        </is>
      </c>
      <c r="E65" s="94" t="inlineStr">
        <is>
          <t>Nhận đúng định dạng &amp; dung lượng cho phép</t>
        </is>
      </c>
      <c r="F65" s="104" t="n"/>
      <c r="G65" s="114" t="inlineStr">
        <is>
          <t>Chưa test</t>
        </is>
      </c>
      <c r="H65" s="104" t="n"/>
      <c r="I65" s="116">
        <f>IF($H65="","",IFERROR(INDEX('z_Loi'!$L:$L,MATCH($H65,'z_Loi'!$E:$E,0)),"Không tìm thấy"))</f>
        <v/>
      </c>
      <c r="J65" s="116">
        <f>IF($H65="","",IFERROR(INDEX('z_Loi'!$U:$U,MATCH($H65,'z_Loi'!$E:$E,0)),""))</f>
        <v/>
      </c>
      <c r="K65" s="117">
        <f>IF($H65="","",IF(AND(OR(I65="Critical",I65="High"),OR(J65="Open",J65="Chưa gửi Dev")),"CHẶN",""))</f>
        <v/>
      </c>
      <c r="L65" s="118" t="n"/>
      <c r="M65" s="119" t="n"/>
      <c r="N65" s="120" t="n"/>
    </row>
    <row r="66" ht="30" customHeight="1">
      <c r="A66" s="114" t="inlineStr">
        <is>
          <t>UV-02</t>
        </is>
      </c>
      <c r="B66" s="104" t="n">
        <v>4</v>
      </c>
      <c r="C66" s="115">
        <f>IF($A66="","",IFERROR(VLOOKUP($A66,$A$35:$B$49,2,0),"⚠ Sai Mã HT"))</f>
        <v/>
      </c>
      <c r="D66" s="94" t="inlineStr">
        <is>
          <t>Bật trạng thái tìm việc / công khai hồ sơ</t>
        </is>
      </c>
      <c r="E66" s="94" t="inlineStr">
        <is>
          <t>NTD tìm thấy hồ sơ theo cài đặt</t>
        </is>
      </c>
      <c r="F66" s="104" t="n"/>
      <c r="G66" s="114" t="inlineStr">
        <is>
          <t>Chưa test</t>
        </is>
      </c>
      <c r="H66" s="104" t="n"/>
      <c r="I66" s="116">
        <f>IF($H66="","",IFERROR(INDEX('z_Loi'!$L:$L,MATCH($H66,'z_Loi'!$E:$E,0)),"Không tìm thấy"))</f>
        <v/>
      </c>
      <c r="J66" s="116">
        <f>IF($H66="","",IFERROR(INDEX('z_Loi'!$U:$U,MATCH($H66,'z_Loi'!$E:$E,0)),""))</f>
        <v/>
      </c>
      <c r="K66" s="117">
        <f>IF($H66="","",IF(AND(OR(I66="Critical",I66="High"),OR(J66="Open",J66="Chưa gửi Dev")),"CHẶN",""))</f>
        <v/>
      </c>
      <c r="L66" s="118" t="n"/>
      <c r="M66" s="119" t="n"/>
      <c r="N66" s="120" t="n"/>
    </row>
    <row r="67" ht="30" customHeight="1">
      <c r="A67" s="114" t="inlineStr">
        <is>
          <t>UV-03</t>
        </is>
      </c>
      <c r="B67" s="104" t="n">
        <v>1</v>
      </c>
      <c r="C67" s="115">
        <f>IF($A67="","",IFERROR(VLOOKUP($A67,$A$35:$B$49,2,0),"⚠ Sai Mã HT"))</f>
        <v/>
      </c>
      <c r="D67" s="94" t="inlineStr">
        <is>
          <t>Tìm và lưu tin yêu thích</t>
        </is>
      </c>
      <c r="E67" s="94" t="inlineStr">
        <is>
          <t>Tin được lưu, xem lại trong danh sách</t>
        </is>
      </c>
      <c r="F67" s="104" t="n"/>
      <c r="G67" s="114" t="inlineStr">
        <is>
          <t>Chưa test</t>
        </is>
      </c>
      <c r="H67" s="104" t="n"/>
      <c r="I67" s="116">
        <f>IF($H67="","",IFERROR(INDEX('z_Loi'!$L:$L,MATCH($H67,'z_Loi'!$E:$E,0)),"Không tìm thấy"))</f>
        <v/>
      </c>
      <c r="J67" s="116">
        <f>IF($H67="","",IFERROR(INDEX('z_Loi'!$U:$U,MATCH($H67,'z_Loi'!$E:$E,0)),""))</f>
        <v/>
      </c>
      <c r="K67" s="117">
        <f>IF($H67="","",IF(AND(OR(I67="Critical",I67="High"),OR(J67="Open",J67="Chưa gửi Dev")),"CHẶN",""))</f>
        <v/>
      </c>
      <c r="L67" s="118" t="n"/>
      <c r="M67" s="119" t="n"/>
      <c r="N67" s="120" t="n"/>
    </row>
    <row r="68" ht="30" customHeight="1">
      <c r="A68" s="114" t="inlineStr">
        <is>
          <t>UV-03</t>
        </is>
      </c>
      <c r="B68" s="104" t="n">
        <v>2</v>
      </c>
      <c r="C68" s="115">
        <f>IF($A68="","",IFERROR(VLOOKUP($A68,$A$35:$B$49,2,0),"⚠ Sai Mã HT"))</f>
        <v/>
      </c>
      <c r="D68" s="94" t="inlineStr">
        <is>
          <t>Ứng tuyển bằng CV</t>
        </is>
      </c>
      <c r="E68" s="94" t="inlineStr">
        <is>
          <t>Nộp thành công, NTD nhận được hồ sơ</t>
        </is>
      </c>
      <c r="F68" s="104" t="n"/>
      <c r="G68" s="114" t="inlineStr">
        <is>
          <t>Chưa test</t>
        </is>
      </c>
      <c r="H68" s="104" t="n"/>
      <c r="I68" s="116">
        <f>IF($H68="","",IFERROR(INDEX('z_Loi'!$L:$L,MATCH($H68,'z_Loi'!$E:$E,0)),"Không tìm thấy"))</f>
        <v/>
      </c>
      <c r="J68" s="116">
        <f>IF($H68="","",IFERROR(INDEX('z_Loi'!$U:$U,MATCH($H68,'z_Loi'!$E:$E,0)),""))</f>
        <v/>
      </c>
      <c r="K68" s="117">
        <f>IF($H68="","",IF(AND(OR(I68="Critical",I68="High"),OR(J68="Open",J68="Chưa gửi Dev")),"CHẶN",""))</f>
        <v/>
      </c>
      <c r="L68" s="118" t="n"/>
      <c r="M68" s="119" t="n"/>
      <c r="N68" s="120" t="n"/>
    </row>
    <row r="69" ht="30" customHeight="1">
      <c r="A69" s="114" t="inlineStr">
        <is>
          <t>UV-03</t>
        </is>
      </c>
      <c r="B69" s="104" t="n">
        <v>3</v>
      </c>
      <c r="C69" s="115">
        <f>IF($A69="","",IFERROR(VLOOKUP($A69,$A$35:$B$49,2,0),"⚠ Sai Mã HT"))</f>
        <v/>
      </c>
      <c r="D69" s="94" t="inlineStr">
        <is>
          <t>Xem lịch sử ứng tuyển</t>
        </is>
      </c>
      <c r="E69" s="94" t="inlineStr">
        <is>
          <t>Hiển thị đúng tin &amp; trạng thái hồ sơ</t>
        </is>
      </c>
      <c r="F69" s="104" t="n"/>
      <c r="G69" s="114" t="inlineStr">
        <is>
          <t>Chưa test</t>
        </is>
      </c>
      <c r="H69" s="104" t="n"/>
      <c r="I69" s="116">
        <f>IF($H69="","",IFERROR(INDEX('z_Loi'!$L:$L,MATCH($H69,'z_Loi'!$E:$E,0)),"Không tìm thấy"))</f>
        <v/>
      </c>
      <c r="J69" s="116">
        <f>IF($H69="","",IFERROR(INDEX('z_Loi'!$U:$U,MATCH($H69,'z_Loi'!$E:$E,0)),""))</f>
        <v/>
      </c>
      <c r="K69" s="117">
        <f>IF($H69="","",IF(AND(OR(I69="Critical",I69="High"),OR(J69="Open",J69="Chưa gửi Dev")),"CHẶN",""))</f>
        <v/>
      </c>
      <c r="L69" s="118" t="n"/>
      <c r="M69" s="119" t="n"/>
      <c r="N69" s="120" t="n"/>
    </row>
    <row r="70" ht="30" customHeight="1">
      <c r="A70" s="114" t="inlineStr">
        <is>
          <t>UV-03</t>
        </is>
      </c>
      <c r="B70" s="104" t="n">
        <v>4</v>
      </c>
      <c r="C70" s="115">
        <f>IF($A70="","",IFERROR(VLOOKUP($A70,$A$35:$B$49,2,0),"⚠ Sai Mã HT"))</f>
        <v/>
      </c>
      <c r="D70" s="94" t="inlineStr">
        <is>
          <t>Nhận thông báo khi NTD xem / phản hồi</t>
        </is>
      </c>
      <c r="E70" s="94" t="inlineStr">
        <is>
          <t>Thông báo/email đến đúng lúc, đúng nội dung</t>
        </is>
      </c>
      <c r="F70" s="104" t="n"/>
      <c r="G70" s="114" t="inlineStr">
        <is>
          <t>Chưa test</t>
        </is>
      </c>
      <c r="H70" s="104" t="n"/>
      <c r="I70" s="116">
        <f>IF($H70="","",IFERROR(INDEX('z_Loi'!$L:$L,MATCH($H70,'z_Loi'!$E:$E,0)),"Không tìm thấy"))</f>
        <v/>
      </c>
      <c r="J70" s="116">
        <f>IF($H70="","",IFERROR(INDEX('z_Loi'!$U:$U,MATCH($H70,'z_Loi'!$E:$E,0)),""))</f>
        <v/>
      </c>
      <c r="K70" s="117">
        <f>IF($H70="","",IF(AND(OR(I70="Critical",I70="High"),OR(J70="Open",J70="Chưa gửi Dev")),"CHẶN",""))</f>
        <v/>
      </c>
      <c r="L70" s="118" t="n"/>
      <c r="M70" s="119" t="n"/>
      <c r="N70" s="120" t="n"/>
    </row>
    <row r="71" ht="30" customHeight="1">
      <c r="A71" s="114" t="inlineStr">
        <is>
          <t>NTD-01</t>
        </is>
      </c>
      <c r="B71" s="104" t="n">
        <v>1</v>
      </c>
      <c r="C71" s="115">
        <f>IF($A71="","",IFERROR(VLOOKUP($A71,$A$35:$B$49,2,0),"⚠ Sai Mã HT"))</f>
        <v/>
      </c>
      <c r="D71" s="94" t="inlineStr">
        <is>
          <t>Đăng ký tài khoản nhà tuyển dụng</t>
        </is>
      </c>
      <c r="E71" s="94" t="inlineStr">
        <is>
          <t>Tạo tài khoản thành công</t>
        </is>
      </c>
      <c r="F71" s="104" t="n"/>
      <c r="G71" s="114" t="inlineStr">
        <is>
          <t>Chưa test</t>
        </is>
      </c>
      <c r="H71" s="104" t="n"/>
      <c r="I71" s="116">
        <f>IF($H71="","",IFERROR(INDEX('z_Loi'!$L:$L,MATCH($H71,'z_Loi'!$E:$E,0)),"Không tìm thấy"))</f>
        <v/>
      </c>
      <c r="J71" s="116">
        <f>IF($H71="","",IFERROR(INDEX('z_Loi'!$U:$U,MATCH($H71,'z_Loi'!$E:$E,0)),""))</f>
        <v/>
      </c>
      <c r="K71" s="117">
        <f>IF($H71="","",IF(AND(OR(I71="Critical",I71="High"),OR(J71="Open",J71="Chưa gửi Dev")),"CHẶN",""))</f>
        <v/>
      </c>
      <c r="L71" s="118" t="n"/>
      <c r="M71" s="119" t="n"/>
      <c r="N71" s="120" t="n"/>
    </row>
    <row r="72" ht="30" customHeight="1">
      <c r="A72" s="114" t="inlineStr">
        <is>
          <t>NTD-01</t>
        </is>
      </c>
      <c r="B72" s="104" t="n">
        <v>2</v>
      </c>
      <c r="C72" s="115">
        <f>IF($A72="","",IFERROR(VLOOKUP($A72,$A$35:$B$49,2,0),"⚠ Sai Mã HT"))</f>
        <v/>
      </c>
      <c r="D72" s="94" t="inlineStr">
        <is>
          <t>Cập nhật thông tin công ty</t>
        </is>
      </c>
      <c r="E72" s="94" t="inlineStr">
        <is>
          <t>Logo, giới thiệu, địa chỉ hiển thị đúng</t>
        </is>
      </c>
      <c r="F72" s="104" t="n"/>
      <c r="G72" s="114" t="inlineStr">
        <is>
          <t>Chưa test</t>
        </is>
      </c>
      <c r="H72" s="104" t="n"/>
      <c r="I72" s="116">
        <f>IF($H72="","",IFERROR(INDEX('z_Loi'!$L:$L,MATCH($H72,'z_Loi'!$E:$E,0)),"Không tìm thấy"))</f>
        <v/>
      </c>
      <c r="J72" s="116">
        <f>IF($H72="","",IFERROR(INDEX('z_Loi'!$U:$U,MATCH($H72,'z_Loi'!$E:$E,0)),""))</f>
        <v/>
      </c>
      <c r="K72" s="117">
        <f>IF($H72="","",IF(AND(OR(I72="Critical",I72="High"),OR(J72="Open",J72="Chưa gửi Dev")),"CHẶN",""))</f>
        <v/>
      </c>
      <c r="L72" s="118" t="n"/>
      <c r="M72" s="119" t="n"/>
      <c r="N72" s="120" t="n"/>
    </row>
    <row r="73" ht="30" customHeight="1">
      <c r="A73" s="114" t="inlineStr">
        <is>
          <t>NTD-01</t>
        </is>
      </c>
      <c r="B73" s="104" t="n">
        <v>3</v>
      </c>
      <c r="C73" s="115">
        <f>IF($A73="","",IFERROR(VLOOKUP($A73,$A$35:$B$49,2,0),"⚠ Sai Mã HT"))</f>
        <v/>
      </c>
      <c r="D73" s="94" t="inlineStr">
        <is>
          <t>Gửi giấy tờ xác thực</t>
        </is>
      </c>
      <c r="E73" s="94" t="inlineStr">
        <is>
          <t>Upload thành công, chờ duyệt</t>
        </is>
      </c>
      <c r="F73" s="104" t="n"/>
      <c r="G73" s="114" t="inlineStr">
        <is>
          <t>Chưa test</t>
        </is>
      </c>
      <c r="H73" s="104" t="n"/>
      <c r="I73" s="116">
        <f>IF($H73="","",IFERROR(INDEX('z_Loi'!$L:$L,MATCH($H73,'z_Loi'!$E:$E,0)),"Không tìm thấy"))</f>
        <v/>
      </c>
      <c r="J73" s="116">
        <f>IF($H73="","",IFERROR(INDEX('z_Loi'!$U:$U,MATCH($H73,'z_Loi'!$E:$E,0)),""))</f>
        <v/>
      </c>
      <c r="K73" s="117">
        <f>IF($H73="","",IF(AND(OR(I73="Critical",I73="High"),OR(J73="Open",J73="Chưa gửi Dev")),"CHẶN",""))</f>
        <v/>
      </c>
      <c r="L73" s="118" t="n"/>
      <c r="M73" s="119" t="n"/>
      <c r="N73" s="120" t="n"/>
    </row>
    <row r="74" ht="30" customHeight="1">
      <c r="A74" s="114" t="inlineStr">
        <is>
          <t>NTD-01</t>
        </is>
      </c>
      <c r="B74" s="104" t="n">
        <v>4</v>
      </c>
      <c r="C74" s="115">
        <f>IF($A74="","",IFERROR(VLOOKUP($A74,$A$35:$B$49,2,0),"⚠ Sai Mã HT"))</f>
        <v/>
      </c>
      <c r="D74" s="94" t="inlineStr">
        <is>
          <t>Nhận kết quả duyệt</t>
        </is>
      </c>
      <c r="E74" s="94" t="inlineStr">
        <is>
          <t>Trạng thái xác thực cập nhật, có thông báo</t>
        </is>
      </c>
      <c r="F74" s="104" t="n"/>
      <c r="G74" s="114" t="inlineStr">
        <is>
          <t>Chưa test</t>
        </is>
      </c>
      <c r="H74" s="104" t="n"/>
      <c r="I74" s="116">
        <f>IF($H74="","",IFERROR(INDEX('z_Loi'!$L:$L,MATCH($H74,'z_Loi'!$E:$E,0)),"Không tìm thấy"))</f>
        <v/>
      </c>
      <c r="J74" s="116">
        <f>IF($H74="","",IFERROR(INDEX('z_Loi'!$U:$U,MATCH($H74,'z_Loi'!$E:$E,0)),""))</f>
        <v/>
      </c>
      <c r="K74" s="117">
        <f>IF($H74="","",IF(AND(OR(I74="Critical",I74="High"),OR(J74="Open",J74="Chưa gửi Dev")),"CHẶN",""))</f>
        <v/>
      </c>
      <c r="L74" s="118" t="n"/>
      <c r="M74" s="119" t="n"/>
      <c r="N74" s="120" t="n"/>
    </row>
    <row r="75" ht="30" customHeight="1">
      <c r="A75" s="114" t="inlineStr">
        <is>
          <t>NTD-02</t>
        </is>
      </c>
      <c r="B75" s="104" t="n">
        <v>1</v>
      </c>
      <c r="C75" s="115">
        <f>IF($A75="","",IFERROR(VLOOKUP($A75,$A$35:$B$49,2,0),"⚠ Sai Mã HT"))</f>
        <v/>
      </c>
      <c r="D75" s="94" t="inlineStr">
        <is>
          <t>Tạo tin tuyển dụng</t>
        </is>
      </c>
      <c r="E75" s="94" t="inlineStr">
        <is>
          <t>Nhập đủ trường, validate đúng</t>
        </is>
      </c>
      <c r="F75" s="104" t="n"/>
      <c r="G75" s="114" t="inlineStr">
        <is>
          <t>Chưa test</t>
        </is>
      </c>
      <c r="H75" s="104" t="n"/>
      <c r="I75" s="116">
        <f>IF($H75="","",IFERROR(INDEX('z_Loi'!$L:$L,MATCH($H75,'z_Loi'!$E:$E,0)),"Không tìm thấy"))</f>
        <v/>
      </c>
      <c r="J75" s="116">
        <f>IF($H75="","",IFERROR(INDEX('z_Loi'!$U:$U,MATCH($H75,'z_Loi'!$E:$E,0)),""))</f>
        <v/>
      </c>
      <c r="K75" s="117">
        <f>IF($H75="","",IF(AND(OR(I75="Critical",I75="High"),OR(J75="Open",J75="Chưa gửi Dev")),"CHẶN",""))</f>
        <v/>
      </c>
      <c r="L75" s="118" t="n"/>
      <c r="M75" s="119" t="n"/>
      <c r="N75" s="120" t="n"/>
    </row>
    <row r="76" ht="30" customHeight="1">
      <c r="A76" s="114" t="inlineStr">
        <is>
          <t>NTD-02</t>
        </is>
      </c>
      <c r="B76" s="104" t="n">
        <v>2</v>
      </c>
      <c r="C76" s="115">
        <f>IF($A76="","",IFERROR(VLOOKUP($A76,$A$35:$B$49,2,0),"⚠ Sai Mã HT"))</f>
        <v/>
      </c>
      <c r="D76" s="94" t="inlineStr">
        <is>
          <t>Xem trước &amp; đăng tin</t>
        </is>
      </c>
      <c r="E76" s="94" t="inlineStr">
        <is>
          <t>Tin gửi duyệt / đăng thành công</t>
        </is>
      </c>
      <c r="F76" s="104" t="n"/>
      <c r="G76" s="114" t="inlineStr">
        <is>
          <t>Chưa test</t>
        </is>
      </c>
      <c r="H76" s="104" t="n"/>
      <c r="I76" s="116">
        <f>IF($H76="","",IFERROR(INDEX('z_Loi'!$L:$L,MATCH($H76,'z_Loi'!$E:$E,0)),"Không tìm thấy"))</f>
        <v/>
      </c>
      <c r="J76" s="116">
        <f>IF($H76="","",IFERROR(INDEX('z_Loi'!$U:$U,MATCH($H76,'z_Loi'!$E:$E,0)),""))</f>
        <v/>
      </c>
      <c r="K76" s="117">
        <f>IF($H76="","",IF(AND(OR(I76="Critical",I76="High"),OR(J76="Open",J76="Chưa gửi Dev")),"CHẶN",""))</f>
        <v/>
      </c>
      <c r="L76" s="118" t="n"/>
      <c r="M76" s="119" t="n"/>
      <c r="N76" s="120" t="n"/>
    </row>
    <row r="77" ht="30" customHeight="1">
      <c r="A77" s="114" t="inlineStr">
        <is>
          <t>NTD-02</t>
        </is>
      </c>
      <c r="B77" s="104" t="n">
        <v>3</v>
      </c>
      <c r="C77" s="115">
        <f>IF($A77="","",IFERROR(VLOOKUP($A77,$A$35:$B$49,2,0),"⚠ Sai Mã HT"))</f>
        <v/>
      </c>
      <c r="D77" s="94" t="inlineStr">
        <is>
          <t>Tin hiển thị trên trang tìm việc</t>
        </is>
      </c>
      <c r="E77" s="94" t="inlineStr">
        <is>
          <t>Ứng viên tìm thấy tin đúng ngành/địa điểm</t>
        </is>
      </c>
      <c r="F77" s="104" t="n"/>
      <c r="G77" s="114" t="inlineStr">
        <is>
          <t>Chưa test</t>
        </is>
      </c>
      <c r="H77" s="104" t="n"/>
      <c r="I77" s="116">
        <f>IF($H77="","",IFERROR(INDEX('z_Loi'!$L:$L,MATCH($H77,'z_Loi'!$E:$E,0)),"Không tìm thấy"))</f>
        <v/>
      </c>
      <c r="J77" s="116">
        <f>IF($H77="","",IFERROR(INDEX('z_Loi'!$U:$U,MATCH($H77,'z_Loi'!$E:$E,0)),""))</f>
        <v/>
      </c>
      <c r="K77" s="117">
        <f>IF($H77="","",IF(AND(OR(I77="Critical",I77="High"),OR(J77="Open",J77="Chưa gửi Dev")),"CHẶN",""))</f>
        <v/>
      </c>
      <c r="L77" s="118" t="n"/>
      <c r="M77" s="119" t="n"/>
      <c r="N77" s="120" t="n"/>
    </row>
    <row r="78" ht="30" customHeight="1">
      <c r="A78" s="114" t="inlineStr">
        <is>
          <t>NTD-02</t>
        </is>
      </c>
      <c r="B78" s="104" t="n">
        <v>4</v>
      </c>
      <c r="C78" s="115">
        <f>IF($A78="","",IFERROR(VLOOKUP($A78,$A$35:$B$49,2,0),"⚠ Sai Mã HT"))</f>
        <v/>
      </c>
      <c r="D78" s="94" t="inlineStr">
        <is>
          <t>Sửa / ẩn / gia hạn tin</t>
        </is>
      </c>
      <c r="E78" s="94" t="inlineStr">
        <is>
          <t>Thay đổi áp dụng ngay, đúng trạng thái</t>
        </is>
      </c>
      <c r="F78" s="104" t="n"/>
      <c r="G78" s="114" t="inlineStr">
        <is>
          <t>Chưa test</t>
        </is>
      </c>
      <c r="H78" s="104" t="n"/>
      <c r="I78" s="116">
        <f>IF($H78="","",IFERROR(INDEX('z_Loi'!$L:$L,MATCH($H78,'z_Loi'!$E:$E,0)),"Không tìm thấy"))</f>
        <v/>
      </c>
      <c r="J78" s="116">
        <f>IF($H78="","",IFERROR(INDEX('z_Loi'!$U:$U,MATCH($H78,'z_Loi'!$E:$E,0)),""))</f>
        <v/>
      </c>
      <c r="K78" s="117">
        <f>IF($H78="","",IF(AND(OR(I78="Critical",I78="High"),OR(J78="Open",J78="Chưa gửi Dev")),"CHẶN",""))</f>
        <v/>
      </c>
      <c r="L78" s="118" t="n"/>
      <c r="M78" s="119" t="n"/>
      <c r="N78" s="120" t="n"/>
    </row>
    <row r="79" ht="30" customHeight="1">
      <c r="A79" s="114" t="inlineStr">
        <is>
          <t>NTD-03</t>
        </is>
      </c>
      <c r="B79" s="104" t="n">
        <v>1</v>
      </c>
      <c r="C79" s="115">
        <f>IF($A79="","",IFERROR(VLOOKUP($A79,$A$35:$B$49,2,0),"⚠ Sai Mã HT"))</f>
        <v/>
      </c>
      <c r="D79" s="94" t="inlineStr">
        <is>
          <t>Nhận hồ sơ ứng tuyển</t>
        </is>
      </c>
      <c r="E79" s="94" t="inlineStr">
        <is>
          <t>Hồ sơ xuất hiện đúng tin, có thông báo</t>
        </is>
      </c>
      <c r="F79" s="104" t="n"/>
      <c r="G79" s="114" t="inlineStr">
        <is>
          <t>Chưa test</t>
        </is>
      </c>
      <c r="H79" s="104" t="n"/>
      <c r="I79" s="116">
        <f>IF($H79="","",IFERROR(INDEX('z_Loi'!$L:$L,MATCH($H79,'z_Loi'!$E:$E,0)),"Không tìm thấy"))</f>
        <v/>
      </c>
      <c r="J79" s="116">
        <f>IF($H79="","",IFERROR(INDEX('z_Loi'!$U:$U,MATCH($H79,'z_Loi'!$E:$E,0)),""))</f>
        <v/>
      </c>
      <c r="K79" s="117">
        <f>IF($H79="","",IF(AND(OR(I79="Critical",I79="High"),OR(J79="Open",J79="Chưa gửi Dev")),"CHẶN",""))</f>
        <v/>
      </c>
      <c r="L79" s="118" t="n"/>
      <c r="M79" s="119" t="n"/>
      <c r="N79" s="120" t="n"/>
    </row>
    <row r="80" ht="30" customHeight="1">
      <c r="A80" s="114" t="inlineStr">
        <is>
          <t>NTD-03</t>
        </is>
      </c>
      <c r="B80" s="104" t="n">
        <v>2</v>
      </c>
      <c r="C80" s="115">
        <f>IF($A80="","",IFERROR(VLOOKUP($A80,$A$35:$B$49,2,0),"⚠ Sai Mã HT"))</f>
        <v/>
      </c>
      <c r="D80" s="94" t="inlineStr">
        <is>
          <t>Xem / tải CV ứng viên</t>
        </is>
      </c>
      <c r="E80" s="94" t="inlineStr">
        <is>
          <t>Mở và tải CV được</t>
        </is>
      </c>
      <c r="F80" s="104" t="n"/>
      <c r="G80" s="114" t="inlineStr">
        <is>
          <t>Chưa test</t>
        </is>
      </c>
      <c r="H80" s="104" t="n"/>
      <c r="I80" s="116">
        <f>IF($H80="","",IFERROR(INDEX('z_Loi'!$L:$L,MATCH($H80,'z_Loi'!$E:$E,0)),"Không tìm thấy"))</f>
        <v/>
      </c>
      <c r="J80" s="116">
        <f>IF($H80="","",IFERROR(INDEX('z_Loi'!$U:$U,MATCH($H80,'z_Loi'!$E:$E,0)),""))</f>
        <v/>
      </c>
      <c r="K80" s="117">
        <f>IF($H80="","",IF(AND(OR(I80="Critical",I80="High"),OR(J80="Open",J80="Chưa gửi Dev")),"CHẶN",""))</f>
        <v/>
      </c>
      <c r="L80" s="118" t="n"/>
      <c r="M80" s="119" t="n"/>
      <c r="N80" s="120" t="n"/>
    </row>
    <row r="81" ht="30" customHeight="1">
      <c r="A81" s="114" t="inlineStr">
        <is>
          <t>NTD-03</t>
        </is>
      </c>
      <c r="B81" s="104" t="n">
        <v>3</v>
      </c>
      <c r="C81" s="115">
        <f>IF($A81="","",IFERROR(VLOOKUP($A81,$A$35:$B$49,2,0),"⚠ Sai Mã HT"))</f>
        <v/>
      </c>
      <c r="D81" s="94" t="inlineStr">
        <is>
          <t>Lọc, đánh giá, đổi trạng thái hồ sơ</t>
        </is>
      </c>
      <c r="E81" s="94" t="inlineStr">
        <is>
          <t>Trạng thái lưu đúng, ứng viên được thông báo</t>
        </is>
      </c>
      <c r="F81" s="104" t="n"/>
      <c r="G81" s="114" t="inlineStr">
        <is>
          <t>Chưa test</t>
        </is>
      </c>
      <c r="H81" s="104" t="n"/>
      <c r="I81" s="116">
        <f>IF($H81="","",IFERROR(INDEX('z_Loi'!$L:$L,MATCH($H81,'z_Loi'!$E:$E,0)),"Không tìm thấy"))</f>
        <v/>
      </c>
      <c r="J81" s="116">
        <f>IF($H81="","",IFERROR(INDEX('z_Loi'!$U:$U,MATCH($H81,'z_Loi'!$E:$E,0)),""))</f>
        <v/>
      </c>
      <c r="K81" s="117">
        <f>IF($H81="","",IF(AND(OR(I81="Critical",I81="High"),OR(J81="Open",J81="Chưa gửi Dev")),"CHẶN",""))</f>
        <v/>
      </c>
      <c r="L81" s="118" t="n"/>
      <c r="M81" s="119" t="n"/>
      <c r="N81" s="120" t="n"/>
    </row>
    <row r="82" ht="30" customHeight="1">
      <c r="A82" s="114" t="inlineStr">
        <is>
          <t>NTD-03</t>
        </is>
      </c>
      <c r="B82" s="104" t="n">
        <v>4</v>
      </c>
      <c r="C82" s="115">
        <f>IF($A82="","",IFERROR(VLOOKUP($A82,$A$35:$B$49,2,0),"⚠ Sai Mã HT"))</f>
        <v/>
      </c>
      <c r="D82" s="94" t="inlineStr">
        <is>
          <t>Liên hệ / hẹn phỏng vấn ứng viên</t>
        </is>
      </c>
      <c r="E82" s="94" t="inlineStr">
        <is>
          <t>Gửi được liên hệ, ứng viên nhận được</t>
        </is>
      </c>
      <c r="F82" s="104" t="n"/>
      <c r="G82" s="114" t="inlineStr">
        <is>
          <t>Chưa test</t>
        </is>
      </c>
      <c r="H82" s="104" t="n"/>
      <c r="I82" s="116">
        <f>IF($H82="","",IFERROR(INDEX('z_Loi'!$L:$L,MATCH($H82,'z_Loi'!$E:$E,0)),"Không tìm thấy"))</f>
        <v/>
      </c>
      <c r="J82" s="116">
        <f>IF($H82="","",IFERROR(INDEX('z_Loi'!$U:$U,MATCH($H82,'z_Loi'!$E:$E,0)),""))</f>
        <v/>
      </c>
      <c r="K82" s="117">
        <f>IF($H82="","",IF(AND(OR(I82="Critical",I82="High"),OR(J82="Open",J82="Chưa gửi Dev")),"CHẶN",""))</f>
        <v/>
      </c>
      <c r="L82" s="118" t="n"/>
      <c r="M82" s="119" t="n"/>
      <c r="N82" s="120" t="n"/>
    </row>
    <row r="83" ht="30" customHeight="1">
      <c r="A83" s="114" t="inlineStr">
        <is>
          <t>HR-01</t>
        </is>
      </c>
      <c r="B83" s="104" t="n">
        <v>1</v>
      </c>
      <c r="C83" s="115">
        <f>IF($A83="","",IFERROR(VLOOKUP($A83,$A$35:$B$49,2,0),"⚠ Sai Mã HT"))</f>
        <v/>
      </c>
      <c r="D83" s="94" t="inlineStr">
        <is>
          <t>DN tạo / mời tài khoản HR</t>
        </is>
      </c>
      <c r="E83" s="94" t="inlineStr">
        <is>
          <t>HR nhận lời mời, kích hoạt được</t>
        </is>
      </c>
      <c r="F83" s="104" t="n"/>
      <c r="G83" s="114" t="inlineStr">
        <is>
          <t>Chưa test</t>
        </is>
      </c>
      <c r="H83" s="104" t="n"/>
      <c r="I83" s="116">
        <f>IF($H83="","",IFERROR(INDEX('z_Loi'!$L:$L,MATCH($H83,'z_Loi'!$E:$E,0)),"Không tìm thấy"))</f>
        <v/>
      </c>
      <c r="J83" s="116">
        <f>IF($H83="","",IFERROR(INDEX('z_Loi'!$U:$U,MATCH($H83,'z_Loi'!$E:$E,0)),""))</f>
        <v/>
      </c>
      <c r="K83" s="117">
        <f>IF($H83="","",IF(AND(OR(I83="Critical",I83="High"),OR(J83="Open",J83="Chưa gửi Dev")),"CHẶN",""))</f>
        <v/>
      </c>
      <c r="L83" s="118" t="n"/>
      <c r="M83" s="119" t="n"/>
      <c r="N83" s="120" t="n"/>
    </row>
    <row r="84" ht="30" customHeight="1">
      <c r="A84" s="114" t="inlineStr">
        <is>
          <t>HR-01</t>
        </is>
      </c>
      <c r="B84" s="104" t="n">
        <v>2</v>
      </c>
      <c r="C84" s="115">
        <f>IF($A84="","",IFERROR(VLOOKUP($A84,$A$35:$B$49,2,0),"⚠ Sai Mã HT"))</f>
        <v/>
      </c>
      <c r="D84" s="94" t="inlineStr">
        <is>
          <t>HR đăng nhập</t>
        </is>
      </c>
      <c r="E84" s="94" t="inlineStr">
        <is>
          <t>Vào đúng doanh nghiệp, đúng phân quyền</t>
        </is>
      </c>
      <c r="F84" s="104" t="n"/>
      <c r="G84" s="114" t="inlineStr">
        <is>
          <t>Chưa test</t>
        </is>
      </c>
      <c r="H84" s="104" t="n"/>
      <c r="I84" s="116">
        <f>IF($H84="","",IFERROR(INDEX('z_Loi'!$L:$L,MATCH($H84,'z_Loi'!$E:$E,0)),"Không tìm thấy"))</f>
        <v/>
      </c>
      <c r="J84" s="116">
        <f>IF($H84="","",IFERROR(INDEX('z_Loi'!$U:$U,MATCH($H84,'z_Loi'!$E:$E,0)),""))</f>
        <v/>
      </c>
      <c r="K84" s="117">
        <f>IF($H84="","",IF(AND(OR(I84="Critical",I84="High"),OR(J84="Open",J84="Chưa gửi Dev")),"CHẶN",""))</f>
        <v/>
      </c>
      <c r="L84" s="118" t="n"/>
      <c r="M84" s="119" t="n"/>
      <c r="N84" s="120" t="n"/>
    </row>
    <row r="85" ht="30" customHeight="1">
      <c r="A85" s="114" t="inlineStr">
        <is>
          <t>HR-01</t>
        </is>
      </c>
      <c r="B85" s="104" t="n">
        <v>3</v>
      </c>
      <c r="C85" s="115">
        <f>IF($A85="","",IFERROR(VLOOKUP($A85,$A$35:$B$49,2,0),"⚠ Sai Mã HT"))</f>
        <v/>
      </c>
      <c r="D85" s="94" t="inlineStr">
        <is>
          <t>HR đăng tin &amp; xử lý hồ sơ thay DN</t>
        </is>
      </c>
      <c r="E85" s="94" t="inlineStr">
        <is>
          <t>Thao tác thành công, DN xem được lịch sử</t>
        </is>
      </c>
      <c r="F85" s="104" t="n"/>
      <c r="G85" s="114" t="inlineStr">
        <is>
          <t>Chưa test</t>
        </is>
      </c>
      <c r="H85" s="104" t="n"/>
      <c r="I85" s="116">
        <f>IF($H85="","",IFERROR(INDEX('z_Loi'!$L:$L,MATCH($H85,'z_Loi'!$E:$E,0)),"Không tìm thấy"))</f>
        <v/>
      </c>
      <c r="J85" s="116">
        <f>IF($H85="","",IFERROR(INDEX('z_Loi'!$U:$U,MATCH($H85,'z_Loi'!$E:$E,0)),""))</f>
        <v/>
      </c>
      <c r="K85" s="117">
        <f>IF($H85="","",IF(AND(OR(I85="Critical",I85="High"),OR(J85="Open",J85="Chưa gửi Dev")),"CHẶN",""))</f>
        <v/>
      </c>
      <c r="L85" s="118" t="n"/>
      <c r="M85" s="119" t="n"/>
      <c r="N85" s="120" t="n"/>
    </row>
    <row r="86" ht="30" customHeight="1">
      <c r="A86" s="114" t="inlineStr">
        <is>
          <t>AD-01</t>
        </is>
      </c>
      <c r="B86" s="104" t="n">
        <v>1</v>
      </c>
      <c r="C86" s="115">
        <f>IF($A86="","",IFERROR(VLOOKUP($A86,$A$35:$B$49,2,0),"⚠ Sai Mã HT"))</f>
        <v/>
      </c>
      <c r="D86" s="94" t="inlineStr">
        <is>
          <t>Duyệt doanh nghiệp</t>
        </is>
      </c>
      <c r="E86" s="94" t="inlineStr">
        <is>
          <t>Duyệt/từ chối, DN nhận thông báo</t>
        </is>
      </c>
      <c r="F86" s="104" t="n"/>
      <c r="G86" s="114" t="inlineStr">
        <is>
          <t>Chưa test</t>
        </is>
      </c>
      <c r="H86" s="104" t="n"/>
      <c r="I86" s="116">
        <f>IF($H86="","",IFERROR(INDEX('z_Loi'!$L:$L,MATCH($H86,'z_Loi'!$E:$E,0)),"Không tìm thấy"))</f>
        <v/>
      </c>
      <c r="J86" s="116">
        <f>IF($H86="","",IFERROR(INDEX('z_Loi'!$U:$U,MATCH($H86,'z_Loi'!$E:$E,0)),""))</f>
        <v/>
      </c>
      <c r="K86" s="117">
        <f>IF($H86="","",IF(AND(OR(I86="Critical",I86="High"),OR(J86="Open",J86="Chưa gửi Dev")),"CHẶN",""))</f>
        <v/>
      </c>
      <c r="L86" s="118" t="n"/>
      <c r="M86" s="119" t="n"/>
      <c r="N86" s="120" t="n"/>
    </row>
    <row r="87" ht="30" customHeight="1">
      <c r="A87" s="114" t="inlineStr">
        <is>
          <t>AD-01</t>
        </is>
      </c>
      <c r="B87" s="104" t="n">
        <v>2</v>
      </c>
      <c r="C87" s="115">
        <f>IF($A87="","",IFERROR(VLOOKUP($A87,$A$35:$B$49,2,0),"⚠ Sai Mã HT"))</f>
        <v/>
      </c>
      <c r="D87" s="94" t="inlineStr">
        <is>
          <t>Duyệt tin tuyển dụng</t>
        </is>
      </c>
      <c r="E87" s="94" t="inlineStr">
        <is>
          <t>Tin duyệt mới hiển thị công khai</t>
        </is>
      </c>
      <c r="F87" s="104" t="n"/>
      <c r="G87" s="114" t="inlineStr">
        <is>
          <t>Chưa test</t>
        </is>
      </c>
      <c r="H87" s="104" t="n"/>
      <c r="I87" s="116">
        <f>IF($H87="","",IFERROR(INDEX('z_Loi'!$L:$L,MATCH($H87,'z_Loi'!$E:$E,0)),"Không tìm thấy"))</f>
        <v/>
      </c>
      <c r="J87" s="116">
        <f>IF($H87="","",IFERROR(INDEX('z_Loi'!$U:$U,MATCH($H87,'z_Loi'!$E:$E,0)),""))</f>
        <v/>
      </c>
      <c r="K87" s="117">
        <f>IF($H87="","",IF(AND(OR(I87="Critical",I87="High"),OR(J87="Open",J87="Chưa gửi Dev")),"CHẶN",""))</f>
        <v/>
      </c>
      <c r="L87" s="118" t="n"/>
      <c r="M87" s="119" t="n"/>
      <c r="N87" s="120" t="n"/>
    </row>
    <row r="88" ht="30" customHeight="1">
      <c r="A88" s="114" t="inlineStr">
        <is>
          <t>AD-01</t>
        </is>
      </c>
      <c r="B88" s="104" t="n">
        <v>3</v>
      </c>
      <c r="C88" s="115">
        <f>IF($A88="","",IFERROR(VLOOKUP($A88,$A$35:$B$49,2,0),"⚠ Sai Mã HT"))</f>
        <v/>
      </c>
      <c r="D88" s="94" t="inlineStr">
        <is>
          <t>Khóa tài khoản / tin vi phạm</t>
        </is>
      </c>
      <c r="E88" s="94" t="inlineStr">
        <is>
          <t>Khóa có hiệu lực ngay</t>
        </is>
      </c>
      <c r="F88" s="104" t="n"/>
      <c r="G88" s="114" t="inlineStr">
        <is>
          <t>Chưa test</t>
        </is>
      </c>
      <c r="H88" s="104" t="n"/>
      <c r="I88" s="116">
        <f>IF($H88="","",IFERROR(INDEX('z_Loi'!$L:$L,MATCH($H88,'z_Loi'!$E:$E,0)),"Không tìm thấy"))</f>
        <v/>
      </c>
      <c r="J88" s="116">
        <f>IF($H88="","",IFERROR(INDEX('z_Loi'!$U:$U,MATCH($H88,'z_Loi'!$E:$E,0)),""))</f>
        <v/>
      </c>
      <c r="K88" s="117">
        <f>IF($H88="","",IF(AND(OR(I88="Critical",I88="High"),OR(J88="Open",J88="Chưa gửi Dev")),"CHẶN",""))</f>
        <v/>
      </c>
      <c r="L88" s="118" t="n"/>
      <c r="M88" s="119" t="n"/>
      <c r="N88" s="120" t="n"/>
    </row>
    <row r="89" ht="30" customHeight="1">
      <c r="A89" s="114" t="inlineStr">
        <is>
          <t>AD-01</t>
        </is>
      </c>
      <c r="B89" s="104" t="n">
        <v>4</v>
      </c>
      <c r="C89" s="115">
        <f>IF($A89="","",IFERROR(VLOOKUP($A89,$A$35:$B$49,2,0),"⚠ Sai Mã HT"))</f>
        <v/>
      </c>
      <c r="D89" s="94" t="inlineStr">
        <is>
          <t>Xem thống kê DN / HR / Ứng viên / Tin</t>
        </is>
      </c>
      <c r="E89" s="94" t="inlineStr">
        <is>
          <t>Số liệu khớp Database</t>
        </is>
      </c>
      <c r="F89" s="104" t="n"/>
      <c r="G89" s="114" t="inlineStr">
        <is>
          <t>Chưa test</t>
        </is>
      </c>
      <c r="H89" s="104" t="n"/>
      <c r="I89" s="116">
        <f>IF($H89="","",IFERROR(INDEX('z_Loi'!$L:$L,MATCH($H89,'z_Loi'!$E:$E,0)),"Không tìm thấy"))</f>
        <v/>
      </c>
      <c r="J89" s="116">
        <f>IF($H89="","",IFERROR(INDEX('z_Loi'!$U:$U,MATCH($H89,'z_Loi'!$E:$E,0)),""))</f>
        <v/>
      </c>
      <c r="K89" s="117">
        <f>IF($H89="","",IF(AND(OR(I89="Critical",I89="High"),OR(J89="Open",J89="Chưa gửi Dev")),"CHẶN",""))</f>
        <v/>
      </c>
      <c r="L89" s="118" t="n"/>
      <c r="M89" s="119" t="n"/>
      <c r="N89" s="120" t="n"/>
    </row>
    <row r="90" ht="30" customHeight="1">
      <c r="A90" s="114" t="n"/>
      <c r="B90" s="104" t="n"/>
      <c r="C90" s="115">
        <f>IF($A90="","",IFERROR(VLOOKUP($A90,$A$35:$B$49,2,0),"⚠ Sai Mã HT"))</f>
        <v/>
      </c>
      <c r="D90" s="94" t="n"/>
      <c r="E90" s="94" t="n"/>
      <c r="F90" s="104" t="n"/>
      <c r="G90" s="114" t="n"/>
      <c r="H90" s="104" t="n"/>
      <c r="I90" s="116">
        <f>IF($H90="","",IFERROR(INDEX('z_Loi'!$L:$L,MATCH($H90,'z_Loi'!$E:$E,0)),"Không tìm thấy"))</f>
        <v/>
      </c>
      <c r="J90" s="116">
        <f>IF($H90="","",IFERROR(INDEX('z_Loi'!$U:$U,MATCH($H90,'z_Loi'!$E:$E,0)),""))</f>
        <v/>
      </c>
      <c r="K90" s="117">
        <f>IF($H90="","",IF(AND(OR(I90="Critical",I90="High"),OR(J90="Open",J90="Chưa gửi Dev")),"CHẶN",""))</f>
        <v/>
      </c>
      <c r="L90" s="118" t="n"/>
      <c r="M90" s="119" t="n"/>
      <c r="N90" s="120" t="n"/>
    </row>
    <row r="91" ht="30" customHeight="1">
      <c r="A91" s="114" t="n"/>
      <c r="B91" s="104" t="n"/>
      <c r="C91" s="115">
        <f>IF($A91="","",IFERROR(VLOOKUP($A91,$A$35:$B$49,2,0),"⚠ Sai Mã HT"))</f>
        <v/>
      </c>
      <c r="D91" s="94" t="n"/>
      <c r="E91" s="94" t="n"/>
      <c r="F91" s="104" t="n"/>
      <c r="G91" s="114" t="n"/>
      <c r="H91" s="104" t="n"/>
      <c r="I91" s="116">
        <f>IF($H91="","",IFERROR(INDEX('z_Loi'!$L:$L,MATCH($H91,'z_Loi'!$E:$E,0)),"Không tìm thấy"))</f>
        <v/>
      </c>
      <c r="J91" s="116">
        <f>IF($H91="","",IFERROR(INDEX('z_Loi'!$U:$U,MATCH($H91,'z_Loi'!$E:$E,0)),""))</f>
        <v/>
      </c>
      <c r="K91" s="117">
        <f>IF($H91="","",IF(AND(OR(I91="Critical",I91="High"),OR(J91="Open",J91="Chưa gửi Dev")),"CHẶN",""))</f>
        <v/>
      </c>
      <c r="L91" s="118" t="n"/>
      <c r="M91" s="119" t="n"/>
      <c r="N91" s="120" t="n"/>
    </row>
    <row r="92" ht="30" customHeight="1">
      <c r="A92" s="114" t="n"/>
      <c r="B92" s="104" t="n"/>
      <c r="C92" s="115">
        <f>IF($A92="","",IFERROR(VLOOKUP($A92,$A$35:$B$49,2,0),"⚠ Sai Mã HT"))</f>
        <v/>
      </c>
      <c r="D92" s="94" t="n"/>
      <c r="E92" s="94" t="n"/>
      <c r="F92" s="104" t="n"/>
      <c r="G92" s="114" t="n"/>
      <c r="H92" s="104" t="n"/>
      <c r="I92" s="116">
        <f>IF($H92="","",IFERROR(INDEX('z_Loi'!$L:$L,MATCH($H92,'z_Loi'!$E:$E,0)),"Không tìm thấy"))</f>
        <v/>
      </c>
      <c r="J92" s="116">
        <f>IF($H92="","",IFERROR(INDEX('z_Loi'!$U:$U,MATCH($H92,'z_Loi'!$E:$E,0)),""))</f>
        <v/>
      </c>
      <c r="K92" s="117">
        <f>IF($H92="","",IF(AND(OR(I92="Critical",I92="High"),OR(J92="Open",J92="Chưa gửi Dev")),"CHẶN",""))</f>
        <v/>
      </c>
      <c r="L92" s="118" t="n"/>
      <c r="M92" s="119" t="n"/>
      <c r="N92" s="120" t="n"/>
    </row>
    <row r="93" ht="30" customHeight="1">
      <c r="A93" s="114" t="n"/>
      <c r="B93" s="104" t="n"/>
      <c r="C93" s="115">
        <f>IF($A93="","",IFERROR(VLOOKUP($A93,$A$35:$B$49,2,0),"⚠ Sai Mã HT"))</f>
        <v/>
      </c>
      <c r="D93" s="94" t="n"/>
      <c r="E93" s="94" t="n"/>
      <c r="F93" s="104" t="n"/>
      <c r="G93" s="114" t="n"/>
      <c r="H93" s="104" t="n"/>
      <c r="I93" s="116">
        <f>IF($H93="","",IFERROR(INDEX('z_Loi'!$L:$L,MATCH($H93,'z_Loi'!$E:$E,0)),"Không tìm thấy"))</f>
        <v/>
      </c>
      <c r="J93" s="116">
        <f>IF($H93="","",IFERROR(INDEX('z_Loi'!$U:$U,MATCH($H93,'z_Loi'!$E:$E,0)),""))</f>
        <v/>
      </c>
      <c r="K93" s="117">
        <f>IF($H93="","",IF(AND(OR(I93="Critical",I93="High"),OR(J93="Open",J93="Chưa gửi Dev")),"CHẶN",""))</f>
        <v/>
      </c>
      <c r="L93" s="118" t="n"/>
      <c r="M93" s="119" t="n"/>
      <c r="N93" s="120" t="n"/>
    </row>
    <row r="94" ht="30" customHeight="1">
      <c r="A94" s="114" t="n"/>
      <c r="B94" s="104" t="n"/>
      <c r="C94" s="115">
        <f>IF($A94="","",IFERROR(VLOOKUP($A94,$A$35:$B$49,2,0),"⚠ Sai Mã HT"))</f>
        <v/>
      </c>
      <c r="D94" s="94" t="n"/>
      <c r="E94" s="94" t="n"/>
      <c r="F94" s="104" t="n"/>
      <c r="G94" s="114" t="n"/>
      <c r="H94" s="104" t="n"/>
      <c r="I94" s="116">
        <f>IF($H94="","",IFERROR(INDEX('z_Loi'!$L:$L,MATCH($H94,'z_Loi'!$E:$E,0)),"Không tìm thấy"))</f>
        <v/>
      </c>
      <c r="J94" s="116">
        <f>IF($H94="","",IFERROR(INDEX('z_Loi'!$U:$U,MATCH($H94,'z_Loi'!$E:$E,0)),""))</f>
        <v/>
      </c>
      <c r="K94" s="117">
        <f>IF($H94="","",IF(AND(OR(I94="Critical",I94="High"),OR(J94="Open",J94="Chưa gửi Dev")),"CHẶN",""))</f>
        <v/>
      </c>
      <c r="L94" s="118" t="n"/>
      <c r="M94" s="119" t="n"/>
      <c r="N94" s="120" t="n"/>
    </row>
    <row r="95" ht="30" customHeight="1">
      <c r="A95" s="114" t="n"/>
      <c r="B95" s="104" t="n"/>
      <c r="C95" s="115">
        <f>IF($A95="","",IFERROR(VLOOKUP($A95,$A$35:$B$49,2,0),"⚠ Sai Mã HT"))</f>
        <v/>
      </c>
      <c r="D95" s="94" t="n"/>
      <c r="E95" s="94" t="n"/>
      <c r="F95" s="104" t="n"/>
      <c r="G95" s="114" t="n"/>
      <c r="H95" s="104" t="n"/>
      <c r="I95" s="116">
        <f>IF($H95="","",IFERROR(INDEX('z_Loi'!$L:$L,MATCH($H95,'z_Loi'!$E:$E,0)),"Không tìm thấy"))</f>
        <v/>
      </c>
      <c r="J95" s="116">
        <f>IF($H95="","",IFERROR(INDEX('z_Loi'!$U:$U,MATCH($H95,'z_Loi'!$E:$E,0)),""))</f>
        <v/>
      </c>
      <c r="K95" s="117">
        <f>IF($H95="","",IF(AND(OR(I95="Critical",I95="High"),OR(J95="Open",J95="Chưa gửi Dev")),"CHẶN",""))</f>
        <v/>
      </c>
      <c r="L95" s="118" t="n"/>
      <c r="M95" s="119" t="n"/>
      <c r="N95" s="120" t="n"/>
    </row>
    <row r="96" ht="30" customHeight="1">
      <c r="A96" s="114" t="n"/>
      <c r="B96" s="104" t="n"/>
      <c r="C96" s="115">
        <f>IF($A96="","",IFERROR(VLOOKUP($A96,$A$35:$B$49,2,0),"⚠ Sai Mã HT"))</f>
        <v/>
      </c>
      <c r="D96" s="94" t="n"/>
      <c r="E96" s="94" t="n"/>
      <c r="F96" s="104" t="n"/>
      <c r="G96" s="114" t="n"/>
      <c r="H96" s="104" t="n"/>
      <c r="I96" s="116">
        <f>IF($H96="","",IFERROR(INDEX('z_Loi'!$L:$L,MATCH($H96,'z_Loi'!$E:$E,0)),"Không tìm thấy"))</f>
        <v/>
      </c>
      <c r="J96" s="116">
        <f>IF($H96="","",IFERROR(INDEX('z_Loi'!$U:$U,MATCH($H96,'z_Loi'!$E:$E,0)),""))</f>
        <v/>
      </c>
      <c r="K96" s="117">
        <f>IF($H96="","",IF(AND(OR(I96="Critical",I96="High"),OR(J96="Open",J96="Chưa gửi Dev")),"CHẶN",""))</f>
        <v/>
      </c>
      <c r="L96" s="118" t="n"/>
      <c r="M96" s="119" t="n"/>
      <c r="N96" s="120" t="n"/>
    </row>
    <row r="97" ht="30" customHeight="1">
      <c r="A97" s="114" t="n"/>
      <c r="B97" s="104" t="n"/>
      <c r="C97" s="115">
        <f>IF($A97="","",IFERROR(VLOOKUP($A97,$A$35:$B$49,2,0),"⚠ Sai Mã HT"))</f>
        <v/>
      </c>
      <c r="D97" s="94" t="n"/>
      <c r="E97" s="94" t="n"/>
      <c r="F97" s="104" t="n"/>
      <c r="G97" s="114" t="n"/>
      <c r="H97" s="104" t="n"/>
      <c r="I97" s="116">
        <f>IF($H97="","",IFERROR(INDEX('z_Loi'!$L:$L,MATCH($H97,'z_Loi'!$E:$E,0)),"Không tìm thấy"))</f>
        <v/>
      </c>
      <c r="J97" s="116">
        <f>IF($H97="","",IFERROR(INDEX('z_Loi'!$U:$U,MATCH($H97,'z_Loi'!$E:$E,0)),""))</f>
        <v/>
      </c>
      <c r="K97" s="117">
        <f>IF($H97="","",IF(AND(OR(I97="Critical",I97="High"),OR(J97="Open",J97="Chưa gửi Dev")),"CHẶN",""))</f>
        <v/>
      </c>
      <c r="L97" s="118" t="n"/>
      <c r="M97" s="119" t="n"/>
      <c r="N97" s="120" t="n"/>
    </row>
    <row r="98" ht="30" customHeight="1">
      <c r="A98" s="114" t="n"/>
      <c r="B98" s="104" t="n"/>
      <c r="C98" s="115">
        <f>IF($A98="","",IFERROR(VLOOKUP($A98,$A$35:$B$49,2,0),"⚠ Sai Mã HT"))</f>
        <v/>
      </c>
      <c r="D98" s="94" t="n"/>
      <c r="E98" s="94" t="n"/>
      <c r="F98" s="104" t="n"/>
      <c r="G98" s="114" t="n"/>
      <c r="H98" s="104" t="n"/>
      <c r="I98" s="116">
        <f>IF($H98="","",IFERROR(INDEX('z_Loi'!$L:$L,MATCH($H98,'z_Loi'!$E:$E,0)),"Không tìm thấy"))</f>
        <v/>
      </c>
      <c r="J98" s="116">
        <f>IF($H98="","",IFERROR(INDEX('z_Loi'!$U:$U,MATCH($H98,'z_Loi'!$E:$E,0)),""))</f>
        <v/>
      </c>
      <c r="K98" s="117">
        <f>IF($H98="","",IF(AND(OR(I98="Critical",I98="High"),OR(J98="Open",J98="Chưa gửi Dev")),"CHẶN",""))</f>
        <v/>
      </c>
      <c r="L98" s="118" t="n"/>
      <c r="M98" s="119" t="n"/>
      <c r="N98" s="120" t="n"/>
    </row>
    <row r="99" ht="30" customHeight="1">
      <c r="A99" s="114" t="n"/>
      <c r="B99" s="104" t="n"/>
      <c r="C99" s="115">
        <f>IF($A99="","",IFERROR(VLOOKUP($A99,$A$35:$B$49,2,0),"⚠ Sai Mã HT"))</f>
        <v/>
      </c>
      <c r="D99" s="94" t="n"/>
      <c r="E99" s="94" t="n"/>
      <c r="F99" s="104" t="n"/>
      <c r="G99" s="114" t="n"/>
      <c r="H99" s="104" t="n"/>
      <c r="I99" s="116">
        <f>IF($H99="","",IFERROR(INDEX('z_Loi'!$L:$L,MATCH($H99,'z_Loi'!$E:$E,0)),"Không tìm thấy"))</f>
        <v/>
      </c>
      <c r="J99" s="116">
        <f>IF($H99="","",IFERROR(INDEX('z_Loi'!$U:$U,MATCH($H99,'z_Loi'!$E:$E,0)),""))</f>
        <v/>
      </c>
      <c r="K99" s="117">
        <f>IF($H99="","",IF(AND(OR(I99="Critical",I99="High"),OR(J99="Open",J99="Chưa gửi Dev")),"CHẶN",""))</f>
        <v/>
      </c>
      <c r="L99" s="118" t="n"/>
      <c r="M99" s="119" t="n"/>
      <c r="N99" s="120" t="n"/>
    </row>
    <row r="100" ht="30" customHeight="1">
      <c r="A100" s="114" t="n"/>
      <c r="B100" s="104" t="n"/>
      <c r="C100" s="115">
        <f>IF($A100="","",IFERROR(VLOOKUP($A100,$A$35:$B$49,2,0),"⚠ Sai Mã HT"))</f>
        <v/>
      </c>
      <c r="D100" s="94" t="n"/>
      <c r="E100" s="94" t="n"/>
      <c r="F100" s="104" t="n"/>
      <c r="G100" s="114" t="n"/>
      <c r="H100" s="104" t="n"/>
      <c r="I100" s="116">
        <f>IF($H100="","",IFERROR(INDEX('z_Loi'!$L:$L,MATCH($H100,'z_Loi'!$E:$E,0)),"Không tìm thấy"))</f>
        <v/>
      </c>
      <c r="J100" s="116">
        <f>IF($H100="","",IFERROR(INDEX('z_Loi'!$U:$U,MATCH($H100,'z_Loi'!$E:$E,0)),""))</f>
        <v/>
      </c>
      <c r="K100" s="117">
        <f>IF($H100="","",IF(AND(OR(I100="Critical",I100="High"),OR(J100="Open",J100="Chưa gửi Dev")),"CHẶN",""))</f>
        <v/>
      </c>
      <c r="L100" s="118" t="n"/>
      <c r="M100" s="119" t="n"/>
      <c r="N100" s="120" t="n"/>
    </row>
    <row r="101" ht="30" customHeight="1">
      <c r="A101" s="114" t="n"/>
      <c r="B101" s="104" t="n"/>
      <c r="C101" s="115">
        <f>IF($A101="","",IFERROR(VLOOKUP($A101,$A$35:$B$49,2,0),"⚠ Sai Mã HT"))</f>
        <v/>
      </c>
      <c r="D101" s="94" t="n"/>
      <c r="E101" s="94" t="n"/>
      <c r="F101" s="104" t="n"/>
      <c r="G101" s="114" t="n"/>
      <c r="H101" s="104" t="n"/>
      <c r="I101" s="116">
        <f>IF($H101="","",IFERROR(INDEX('z_Loi'!$L:$L,MATCH($H101,'z_Loi'!$E:$E,0)),"Không tìm thấy"))</f>
        <v/>
      </c>
      <c r="J101" s="116">
        <f>IF($H101="","",IFERROR(INDEX('z_Loi'!$U:$U,MATCH($H101,'z_Loi'!$E:$E,0)),""))</f>
        <v/>
      </c>
      <c r="K101" s="117">
        <f>IF($H101="","",IF(AND(OR(I101="Critical",I101="High"),OR(J101="Open",J101="Chưa gửi Dev")),"CHẶN",""))</f>
        <v/>
      </c>
      <c r="L101" s="118" t="n"/>
      <c r="M101" s="119" t="n"/>
      <c r="N101" s="120" t="n"/>
    </row>
    <row r="102" ht="30" customHeight="1">
      <c r="A102" s="114" t="n"/>
      <c r="B102" s="104" t="n"/>
      <c r="C102" s="115">
        <f>IF($A102="","",IFERROR(VLOOKUP($A102,$A$35:$B$49,2,0),"⚠ Sai Mã HT"))</f>
        <v/>
      </c>
      <c r="D102" s="94" t="n"/>
      <c r="E102" s="94" t="n"/>
      <c r="F102" s="104" t="n"/>
      <c r="G102" s="114" t="n"/>
      <c r="H102" s="104" t="n"/>
      <c r="I102" s="116">
        <f>IF($H102="","",IFERROR(INDEX('z_Loi'!$L:$L,MATCH($H102,'z_Loi'!$E:$E,0)),"Không tìm thấy"))</f>
        <v/>
      </c>
      <c r="J102" s="116">
        <f>IF($H102="","",IFERROR(INDEX('z_Loi'!$U:$U,MATCH($H102,'z_Loi'!$E:$E,0)),""))</f>
        <v/>
      </c>
      <c r="K102" s="117">
        <f>IF($H102="","",IF(AND(OR(I102="Critical",I102="High"),OR(J102="Open",J102="Chưa gửi Dev")),"CHẶN",""))</f>
        <v/>
      </c>
      <c r="L102" s="118" t="n"/>
      <c r="M102" s="119" t="n"/>
      <c r="N102" s="120" t="n"/>
    </row>
    <row r="103" ht="30" customHeight="1">
      <c r="A103" s="114" t="n"/>
      <c r="B103" s="104" t="n"/>
      <c r="C103" s="115">
        <f>IF($A103="","",IFERROR(VLOOKUP($A103,$A$35:$B$49,2,0),"⚠ Sai Mã HT"))</f>
        <v/>
      </c>
      <c r="D103" s="94" t="n"/>
      <c r="E103" s="94" t="n"/>
      <c r="F103" s="104" t="n"/>
      <c r="G103" s="114" t="n"/>
      <c r="H103" s="104" t="n"/>
      <c r="I103" s="116">
        <f>IF($H103="","",IFERROR(INDEX('z_Loi'!$L:$L,MATCH($H103,'z_Loi'!$E:$E,0)),"Không tìm thấy"))</f>
        <v/>
      </c>
      <c r="J103" s="116">
        <f>IF($H103="","",IFERROR(INDEX('z_Loi'!$U:$U,MATCH($H103,'z_Loi'!$E:$E,0)),""))</f>
        <v/>
      </c>
      <c r="K103" s="117">
        <f>IF($H103="","",IF(AND(OR(I103="Critical",I103="High"),OR(J103="Open",J103="Chưa gửi Dev")),"CHẶN",""))</f>
        <v/>
      </c>
      <c r="L103" s="118" t="n"/>
      <c r="M103" s="119" t="n"/>
      <c r="N103" s="120" t="n"/>
    </row>
    <row r="104" ht="30" customHeight="1">
      <c r="A104" s="114" t="n"/>
      <c r="B104" s="104" t="n"/>
      <c r="C104" s="115">
        <f>IF($A104="","",IFERROR(VLOOKUP($A104,$A$35:$B$49,2,0),"⚠ Sai Mã HT"))</f>
        <v/>
      </c>
      <c r="D104" s="94" t="n"/>
      <c r="E104" s="94" t="n"/>
      <c r="F104" s="104" t="n"/>
      <c r="G104" s="114" t="n"/>
      <c r="H104" s="104" t="n"/>
      <c r="I104" s="116">
        <f>IF($H104="","",IFERROR(INDEX('z_Loi'!$L:$L,MATCH($H104,'z_Loi'!$E:$E,0)),"Không tìm thấy"))</f>
        <v/>
      </c>
      <c r="J104" s="116">
        <f>IF($H104="","",IFERROR(INDEX('z_Loi'!$U:$U,MATCH($H104,'z_Loi'!$E:$E,0)),""))</f>
        <v/>
      </c>
      <c r="K104" s="117">
        <f>IF($H104="","",IF(AND(OR(I104="Critical",I104="High"),OR(J104="Open",J104="Chưa gửi Dev")),"CHẶN",""))</f>
        <v/>
      </c>
      <c r="L104" s="118" t="n"/>
      <c r="M104" s="119" t="n"/>
      <c r="N104" s="120" t="n"/>
    </row>
    <row r="105" ht="30" customHeight="1">
      <c r="A105" s="114" t="n"/>
      <c r="B105" s="104" t="n"/>
      <c r="C105" s="115">
        <f>IF($A105="","",IFERROR(VLOOKUP($A105,$A$35:$B$49,2,0),"⚠ Sai Mã HT"))</f>
        <v/>
      </c>
      <c r="D105" s="94" t="n"/>
      <c r="E105" s="94" t="n"/>
      <c r="F105" s="104" t="n"/>
      <c r="G105" s="114" t="n"/>
      <c r="H105" s="104" t="n"/>
      <c r="I105" s="116">
        <f>IF($H105="","",IFERROR(INDEX('z_Loi'!$L:$L,MATCH($H105,'z_Loi'!$E:$E,0)),"Không tìm thấy"))</f>
        <v/>
      </c>
      <c r="J105" s="116">
        <f>IF($H105="","",IFERROR(INDEX('z_Loi'!$U:$U,MATCH($H105,'z_Loi'!$E:$E,0)),""))</f>
        <v/>
      </c>
      <c r="K105" s="117">
        <f>IF($H105="","",IF(AND(OR(I105="Critical",I105="High"),OR(J105="Open",J105="Chưa gửi Dev")),"CHẶN",""))</f>
        <v/>
      </c>
      <c r="L105" s="118" t="n"/>
      <c r="M105" s="119" t="n"/>
      <c r="N105" s="120" t="n"/>
    </row>
    <row r="106" ht="30" customHeight="1">
      <c r="A106" s="114" t="n"/>
      <c r="B106" s="104" t="n"/>
      <c r="C106" s="115">
        <f>IF($A106="","",IFERROR(VLOOKUP($A106,$A$35:$B$49,2,0),"⚠ Sai Mã HT"))</f>
        <v/>
      </c>
      <c r="D106" s="94" t="n"/>
      <c r="E106" s="94" t="n"/>
      <c r="F106" s="104" t="n"/>
      <c r="G106" s="114" t="n"/>
      <c r="H106" s="104" t="n"/>
      <c r="I106" s="116">
        <f>IF($H106="","",IFERROR(INDEX('z_Loi'!$L:$L,MATCH($H106,'z_Loi'!$E:$E,0)),"Không tìm thấy"))</f>
        <v/>
      </c>
      <c r="J106" s="116">
        <f>IF($H106="","",IFERROR(INDEX('z_Loi'!$U:$U,MATCH($H106,'z_Loi'!$E:$E,0)),""))</f>
        <v/>
      </c>
      <c r="K106" s="117">
        <f>IF($H106="","",IF(AND(OR(I106="Critical",I106="High"),OR(J106="Open",J106="Chưa gửi Dev")),"CHẶN",""))</f>
        <v/>
      </c>
      <c r="L106" s="118" t="n"/>
      <c r="M106" s="119" t="n"/>
      <c r="N106" s="120" t="n"/>
    </row>
    <row r="107" ht="30" customHeight="1">
      <c r="A107" s="114" t="n"/>
      <c r="B107" s="104" t="n"/>
      <c r="C107" s="115">
        <f>IF($A107="","",IFERROR(VLOOKUP($A107,$A$35:$B$49,2,0),"⚠ Sai Mã HT"))</f>
        <v/>
      </c>
      <c r="D107" s="94" t="n"/>
      <c r="E107" s="94" t="n"/>
      <c r="F107" s="104" t="n"/>
      <c r="G107" s="114" t="n"/>
      <c r="H107" s="104" t="n"/>
      <c r="I107" s="116">
        <f>IF($H107="","",IFERROR(INDEX('z_Loi'!$L:$L,MATCH($H107,'z_Loi'!$E:$E,0)),"Không tìm thấy"))</f>
        <v/>
      </c>
      <c r="J107" s="116">
        <f>IF($H107="","",IFERROR(INDEX('z_Loi'!$U:$U,MATCH($H107,'z_Loi'!$E:$E,0)),""))</f>
        <v/>
      </c>
      <c r="K107" s="117">
        <f>IF($H107="","",IF(AND(OR(I107="Critical",I107="High"),OR(J107="Open",J107="Chưa gửi Dev")),"CHẶN",""))</f>
        <v/>
      </c>
      <c r="L107" s="118" t="n"/>
      <c r="M107" s="119" t="n"/>
      <c r="N107" s="120" t="n"/>
    </row>
    <row r="108" ht="30" customHeight="1">
      <c r="A108" s="114" t="n"/>
      <c r="B108" s="104" t="n"/>
      <c r="C108" s="115">
        <f>IF($A108="","",IFERROR(VLOOKUP($A108,$A$35:$B$49,2,0),"⚠ Sai Mã HT"))</f>
        <v/>
      </c>
      <c r="D108" s="94" t="n"/>
      <c r="E108" s="94" t="n"/>
      <c r="F108" s="104" t="n"/>
      <c r="G108" s="114" t="n"/>
      <c r="H108" s="104" t="n"/>
      <c r="I108" s="116">
        <f>IF($H108="","",IFERROR(INDEX('z_Loi'!$L:$L,MATCH($H108,'z_Loi'!$E:$E,0)),"Không tìm thấy"))</f>
        <v/>
      </c>
      <c r="J108" s="116">
        <f>IF($H108="","",IFERROR(INDEX('z_Loi'!$U:$U,MATCH($H108,'z_Loi'!$E:$E,0)),""))</f>
        <v/>
      </c>
      <c r="K108" s="117">
        <f>IF($H108="","",IF(AND(OR(I108="Critical",I108="High"),OR(J108="Open",J108="Chưa gửi Dev")),"CHẶN",""))</f>
        <v/>
      </c>
      <c r="L108" s="118" t="n"/>
      <c r="M108" s="119" t="n"/>
      <c r="N108" s="120" t="n"/>
    </row>
    <row r="109" ht="30" customHeight="1">
      <c r="A109" s="114" t="n"/>
      <c r="B109" s="104" t="n"/>
      <c r="C109" s="115">
        <f>IF($A109="","",IFERROR(VLOOKUP($A109,$A$35:$B$49,2,0),"⚠ Sai Mã HT"))</f>
        <v/>
      </c>
      <c r="D109" s="94" t="n"/>
      <c r="E109" s="94" t="n"/>
      <c r="F109" s="104" t="n"/>
      <c r="G109" s="114" t="n"/>
      <c r="H109" s="104" t="n"/>
      <c r="I109" s="116">
        <f>IF($H109="","",IFERROR(INDEX('z_Loi'!$L:$L,MATCH($H109,'z_Loi'!$E:$E,0)),"Không tìm thấy"))</f>
        <v/>
      </c>
      <c r="J109" s="116">
        <f>IF($H109="","",IFERROR(INDEX('z_Loi'!$U:$U,MATCH($H109,'z_Loi'!$E:$E,0)),""))</f>
        <v/>
      </c>
      <c r="K109" s="117">
        <f>IF($H109="","",IF(AND(OR(I109="Critical",I109="High"),OR(J109="Open",J109="Chưa gửi Dev")),"CHẶN",""))</f>
        <v/>
      </c>
      <c r="L109" s="118" t="n"/>
      <c r="M109" s="119" t="n"/>
      <c r="N109" s="120" t="n"/>
    </row>
    <row r="110" ht="30" customHeight="1">
      <c r="A110" s="114" t="n"/>
      <c r="B110" s="104" t="n"/>
      <c r="C110" s="115">
        <f>IF($A110="","",IFERROR(VLOOKUP($A110,$A$35:$B$49,2,0),"⚠ Sai Mã HT"))</f>
        <v/>
      </c>
      <c r="D110" s="94" t="n"/>
      <c r="E110" s="94" t="n"/>
      <c r="F110" s="104" t="n"/>
      <c r="G110" s="114" t="n"/>
      <c r="H110" s="104" t="n"/>
      <c r="I110" s="116">
        <f>IF($H110="","",IFERROR(INDEX('z_Loi'!$L:$L,MATCH($H110,'z_Loi'!$E:$E,0)),"Không tìm thấy"))</f>
        <v/>
      </c>
      <c r="J110" s="116">
        <f>IF($H110="","",IFERROR(INDEX('z_Loi'!$U:$U,MATCH($H110,'z_Loi'!$E:$E,0)),""))</f>
        <v/>
      </c>
      <c r="K110" s="117">
        <f>IF($H110="","",IF(AND(OR(I110="Critical",I110="High"),OR(J110="Open",J110="Chưa gửi Dev")),"CHẶN",""))</f>
        <v/>
      </c>
      <c r="L110" s="118" t="n"/>
      <c r="M110" s="119" t="n"/>
      <c r="N110" s="120" t="n"/>
    </row>
    <row r="111" ht="30" customHeight="1">
      <c r="A111" s="114" t="n"/>
      <c r="B111" s="104" t="n"/>
      <c r="C111" s="115">
        <f>IF($A111="","",IFERROR(VLOOKUP($A111,$A$35:$B$49,2,0),"⚠ Sai Mã HT"))</f>
        <v/>
      </c>
      <c r="D111" s="94" t="n"/>
      <c r="E111" s="94" t="n"/>
      <c r="F111" s="104" t="n"/>
      <c r="G111" s="114" t="n"/>
      <c r="H111" s="104" t="n"/>
      <c r="I111" s="116">
        <f>IF($H111="","",IFERROR(INDEX('z_Loi'!$L:$L,MATCH($H111,'z_Loi'!$E:$E,0)),"Không tìm thấy"))</f>
        <v/>
      </c>
      <c r="J111" s="116">
        <f>IF($H111="","",IFERROR(INDEX('z_Loi'!$U:$U,MATCH($H111,'z_Loi'!$E:$E,0)),""))</f>
        <v/>
      </c>
      <c r="K111" s="117">
        <f>IF($H111="","",IF(AND(OR(I111="Critical",I111="High"),OR(J111="Open",J111="Chưa gửi Dev")),"CHẶN",""))</f>
        <v/>
      </c>
      <c r="L111" s="118" t="n"/>
      <c r="M111" s="119" t="n"/>
      <c r="N111" s="120" t="n"/>
    </row>
    <row r="112" ht="30" customHeight="1">
      <c r="A112" s="114" t="n"/>
      <c r="B112" s="104" t="n"/>
      <c r="C112" s="115">
        <f>IF($A112="","",IFERROR(VLOOKUP($A112,$A$35:$B$49,2,0),"⚠ Sai Mã HT"))</f>
        <v/>
      </c>
      <c r="D112" s="94" t="n"/>
      <c r="E112" s="94" t="n"/>
      <c r="F112" s="104" t="n"/>
      <c r="G112" s="114" t="n"/>
      <c r="H112" s="104" t="n"/>
      <c r="I112" s="116">
        <f>IF($H112="","",IFERROR(INDEX('z_Loi'!$L:$L,MATCH($H112,'z_Loi'!$E:$E,0)),"Không tìm thấy"))</f>
        <v/>
      </c>
      <c r="J112" s="116">
        <f>IF($H112="","",IFERROR(INDEX('z_Loi'!$U:$U,MATCH($H112,'z_Loi'!$E:$E,0)),""))</f>
        <v/>
      </c>
      <c r="K112" s="117">
        <f>IF($H112="","",IF(AND(OR(I112="Critical",I112="High"),OR(J112="Open",J112="Chưa gửi Dev")),"CHẶN",""))</f>
        <v/>
      </c>
      <c r="L112" s="118" t="n"/>
      <c r="M112" s="119" t="n"/>
      <c r="N112" s="120" t="n"/>
    </row>
    <row r="113" ht="30" customHeight="1">
      <c r="A113" s="114" t="n"/>
      <c r="B113" s="104" t="n"/>
      <c r="C113" s="115">
        <f>IF($A113="","",IFERROR(VLOOKUP($A113,$A$35:$B$49,2,0),"⚠ Sai Mã HT"))</f>
        <v/>
      </c>
      <c r="D113" s="94" t="n"/>
      <c r="E113" s="94" t="n"/>
      <c r="F113" s="104" t="n"/>
      <c r="G113" s="114" t="n"/>
      <c r="H113" s="104" t="n"/>
      <c r="I113" s="116">
        <f>IF($H113="","",IFERROR(INDEX('z_Loi'!$L:$L,MATCH($H113,'z_Loi'!$E:$E,0)),"Không tìm thấy"))</f>
        <v/>
      </c>
      <c r="J113" s="116">
        <f>IF($H113="","",IFERROR(INDEX('z_Loi'!$U:$U,MATCH($H113,'z_Loi'!$E:$E,0)),""))</f>
        <v/>
      </c>
      <c r="K113" s="117">
        <f>IF($H113="","",IF(AND(OR(I113="Critical",I113="High"),OR(J113="Open",J113="Chưa gửi Dev")),"CHẶN",""))</f>
        <v/>
      </c>
      <c r="L113" s="118" t="n"/>
      <c r="M113" s="119" t="n"/>
      <c r="N113" s="120" t="n"/>
    </row>
    <row r="114" ht="30" customHeight="1">
      <c r="A114" s="114" t="n"/>
      <c r="B114" s="104" t="n"/>
      <c r="C114" s="115">
        <f>IF($A114="","",IFERROR(VLOOKUP($A114,$A$35:$B$49,2,0),"⚠ Sai Mã HT"))</f>
        <v/>
      </c>
      <c r="D114" s="94" t="n"/>
      <c r="E114" s="94" t="n"/>
      <c r="F114" s="104" t="n"/>
      <c r="G114" s="114" t="n"/>
      <c r="H114" s="104" t="n"/>
      <c r="I114" s="116">
        <f>IF($H114="","",IFERROR(INDEX('z_Loi'!$L:$L,MATCH($H114,'z_Loi'!$E:$E,0)),"Không tìm thấy"))</f>
        <v/>
      </c>
      <c r="J114" s="116">
        <f>IF($H114="","",IFERROR(INDEX('z_Loi'!$U:$U,MATCH($H114,'z_Loi'!$E:$E,0)),""))</f>
        <v/>
      </c>
      <c r="K114" s="117">
        <f>IF($H114="","",IF(AND(OR(I114="Critical",I114="High"),OR(J114="Open",J114="Chưa gửi Dev")),"CHẶN",""))</f>
        <v/>
      </c>
      <c r="L114" s="118" t="n"/>
      <c r="M114" s="119" t="n"/>
      <c r="N114" s="120" t="n"/>
    </row>
  </sheetData>
  <mergeCells count="70">
    <mergeCell ref="C16:E16"/>
    <mergeCell ref="C34:D34"/>
    <mergeCell ref="A15:B15"/>
    <mergeCell ref="H22:N22"/>
    <mergeCell ref="L42:N42"/>
    <mergeCell ref="F16:G16"/>
    <mergeCell ref="C42:D42"/>
    <mergeCell ref="L39:N39"/>
    <mergeCell ref="L8:N8"/>
    <mergeCell ref="A27:C27"/>
    <mergeCell ref="C45:D45"/>
    <mergeCell ref="L45:N45"/>
    <mergeCell ref="A51:N51"/>
    <mergeCell ref="L35:N35"/>
    <mergeCell ref="H24:N24"/>
    <mergeCell ref="C35:D35"/>
    <mergeCell ref="A1:N1"/>
    <mergeCell ref="L38:N38"/>
    <mergeCell ref="H23:N23"/>
    <mergeCell ref="A16:B16"/>
    <mergeCell ref="A6:N6"/>
    <mergeCell ref="L10:N10"/>
    <mergeCell ref="K28:N30"/>
    <mergeCell ref="L41:N41"/>
    <mergeCell ref="C47:D47"/>
    <mergeCell ref="L44:N44"/>
    <mergeCell ref="D27:E27"/>
    <mergeCell ref="C41:D41"/>
    <mergeCell ref="L40:N40"/>
    <mergeCell ref="L9:N9"/>
    <mergeCell ref="C44:D44"/>
    <mergeCell ref="H20:N20"/>
    <mergeCell ref="L34:N34"/>
    <mergeCell ref="C40:D40"/>
    <mergeCell ref="C43:D43"/>
    <mergeCell ref="J4:K4"/>
    <mergeCell ref="L11:N11"/>
    <mergeCell ref="C46:D46"/>
    <mergeCell ref="L46:N46"/>
    <mergeCell ref="L49:N49"/>
    <mergeCell ref="L36:N36"/>
    <mergeCell ref="A2:N2"/>
    <mergeCell ref="H25:N25"/>
    <mergeCell ref="C36:D36"/>
    <mergeCell ref="F4:H4"/>
    <mergeCell ref="H21:N21"/>
    <mergeCell ref="A33:N33"/>
    <mergeCell ref="D28:E30"/>
    <mergeCell ref="A28:C30"/>
    <mergeCell ref="C48:D48"/>
    <mergeCell ref="A32:N32"/>
    <mergeCell ref="L48:N48"/>
    <mergeCell ref="C39:D39"/>
    <mergeCell ref="F27:J27"/>
    <mergeCell ref="L7:N7"/>
    <mergeCell ref="A17:N17"/>
    <mergeCell ref="C38:D38"/>
    <mergeCell ref="C15:N15"/>
    <mergeCell ref="L13:N13"/>
    <mergeCell ref="F28:J30"/>
    <mergeCell ref="C37:D37"/>
    <mergeCell ref="L37:N37"/>
    <mergeCell ref="A52:N52"/>
    <mergeCell ref="L47:N47"/>
    <mergeCell ref="A19:N19"/>
    <mergeCell ref="L43:N43"/>
    <mergeCell ref="L12:N12"/>
    <mergeCell ref="H16:N16"/>
    <mergeCell ref="K27:N27"/>
    <mergeCell ref="C49:D49"/>
  </mergeCells>
  <conditionalFormatting sqref="K8:K13">
    <cfRule type="expression" priority="1" dxfId="0">
      <formula>K8="ĐẠT"</formula>
    </cfRule>
    <cfRule type="expression" priority="2" dxfId="1">
      <formula>K8="CHƯA ĐẠT"</formula>
    </cfRule>
    <cfRule type="expression" priority="3" dxfId="2">
      <formula>K8="ĐANG TEST"</formula>
    </cfRule>
  </conditionalFormatting>
  <conditionalFormatting sqref="K35:K49">
    <cfRule type="expression" priority="4" dxfId="0">
      <formula>K35="ĐẠT"</formula>
    </cfRule>
    <cfRule type="expression" priority="5" dxfId="1">
      <formula>K35="CHƯA ĐẠT"</formula>
    </cfRule>
    <cfRule type="expression" priority="6" dxfId="2">
      <formula>K35="ĐANG TEST"</formula>
    </cfRule>
  </conditionalFormatting>
  <conditionalFormatting sqref="G54:G114">
    <cfRule type="expression" priority="7" dxfId="0">
      <formula>G54="Pass"</formula>
    </cfRule>
    <cfRule type="expression" priority="8" dxfId="1">
      <formula>G54="Fail"</formula>
    </cfRule>
    <cfRule type="expression" priority="9" dxfId="2">
      <formula>G54="Blocked"</formula>
    </cfRule>
  </conditionalFormatting>
  <conditionalFormatting sqref="K54:K114">
    <cfRule type="expression" priority="10" dxfId="1">
      <formula>K54="CHẶN"</formula>
    </cfRule>
  </conditionalFormatting>
  <conditionalFormatting sqref="C15">
    <cfRule type="expression" priority="11" dxfId="0">
      <formula>LEFT(C15,1)="✔"</formula>
    </cfRule>
    <cfRule type="expression" priority="12" dxfId="1">
      <formula>LEFT(C15,1)="✖"</formula>
    </cfRule>
  </conditionalFormatting>
  <dataValidations count="5">
    <dataValidation sqref="C16" showDropDown="0" showInputMessage="0" showErrorMessage="0" allowBlank="0" type="list">
      <formula1>"Đồng ý nghiệm thu,Nghiệm thu có điều kiện,Chưa nghiệm thu"</formula1>
    </dataValidation>
    <dataValidation sqref="G21:G25" showDropDown="0" showInputMessage="0" showErrorMessage="0" allowBlank="0" type="list">
      <formula1>"Đạt,Chưa đạt,Đạt có điều kiện"</formula1>
    </dataValidation>
    <dataValidation sqref="B35:B49" showDropDown="0" showInputMessage="0" showErrorMessage="0" allowBlank="1" type="list">
      <formula1>"Khách vãng lai,Ứng viên,Nhà tuyển dụng (DN),HR,Quản trị viên"</formula1>
    </dataValidation>
    <dataValidation sqref="G54:G114" showDropDown="0" showInputMessage="0" showErrorMessage="0" allowBlank="1" type="list">
      <formula1>"Pass,Fail,Blocked,Chưa test"</formula1>
    </dataValidation>
    <dataValidation sqref="N54:N114" showDropDown="0" showInputMessage="0" showErrorMessage="0" allowBlank="1" type="date" operator="greaterThan">
      <formula1>1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A5AA6"/>
    <outlinePr summaryBelow="1" summaryRight="1"/>
    <pageSetUpPr/>
  </sheetPr>
  <dimension ref="A1:N7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0" customHeight="1">
      <c r="A1" s="2" t="inlineStr">
        <is>
          <t>MỤC TIÊU KPI THEO KỲ — nhập tay (ô nền vàng)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</row>
    <row r="3" ht="22" customHeight="1">
      <c r="A3" s="11" t="inlineStr">
        <is>
          <t>MỤC TIÊU THEO THÁNG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40" customHeight="1">
      <c r="A4" s="121" t="inlineStr">
        <is>
          <t>Tháng</t>
        </is>
      </c>
      <c r="B4" s="122" t="inlineStr">
        <is>
          <t>Trang hoàn thành</t>
        </is>
      </c>
      <c r="C4" s="122" t="inlineStr">
        <is>
          <t>Tính năng hoàn thành</t>
        </is>
      </c>
      <c r="D4" s="122" t="inlineStr">
        <is>
          <t>Công việc HT trong kỳ</t>
        </is>
      </c>
      <c r="E4" s="122" t="inlineStr">
        <is>
          <t>Lỗi phát hiện trong kỳ</t>
        </is>
      </c>
      <c r="F4" s="122" t="inlineStr">
        <is>
          <t>Lỗi đã xử lý (lũy kế)</t>
        </is>
      </c>
      <c r="G4" s="122" t="inlineStr">
        <is>
          <t>Số Trang đã xử lý</t>
        </is>
      </c>
      <c r="H4" s="122" t="inlineStr">
        <is>
          <t>Số Tính năng đã xử lý</t>
        </is>
      </c>
      <c r="I4" s="122" t="inlineStr">
        <is>
          <t>DB Doanh nghiệp</t>
        </is>
      </c>
      <c r="J4" s="122" t="inlineStr">
        <is>
          <t>DB HR</t>
        </is>
      </c>
      <c r="K4" s="122" t="inlineStr">
        <is>
          <t>DB Ứng viên</t>
        </is>
      </c>
      <c r="L4" s="122" t="inlineStr">
        <is>
          <t>Tin tuyển dụng</t>
        </is>
      </c>
    </row>
    <row r="5">
      <c r="A5" s="123" t="n">
        <v>1</v>
      </c>
      <c r="B5" s="124" t="n"/>
      <c r="C5" s="124" t="n"/>
      <c r="D5" s="124" t="n"/>
      <c r="E5" s="124" t="n"/>
      <c r="F5" s="124" t="n"/>
      <c r="G5" s="124" t="n"/>
      <c r="H5" s="124" t="n"/>
      <c r="I5" s="124" t="n"/>
      <c r="J5" s="124" t="n"/>
      <c r="K5" s="124" t="n"/>
      <c r="L5" s="124" t="n"/>
    </row>
    <row r="6">
      <c r="A6" s="123" t="n">
        <v>2</v>
      </c>
      <c r="B6" s="124" t="n"/>
      <c r="C6" s="124" t="n"/>
      <c r="D6" s="124" t="n"/>
      <c r="E6" s="124" t="n"/>
      <c r="F6" s="124" t="n"/>
      <c r="G6" s="124" t="n"/>
      <c r="H6" s="124" t="n"/>
      <c r="I6" s="124" t="n"/>
      <c r="J6" s="124" t="n"/>
      <c r="K6" s="124" t="n"/>
      <c r="L6" s="124" t="n"/>
    </row>
    <row r="7">
      <c r="A7" s="123" t="n">
        <v>3</v>
      </c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</row>
    <row r="8">
      <c r="A8" s="123" t="n">
        <v>4</v>
      </c>
      <c r="B8" s="124" t="n"/>
      <c r="C8" s="124" t="n"/>
      <c r="D8" s="124" t="n"/>
      <c r="E8" s="124" t="n"/>
      <c r="F8" s="124" t="n"/>
      <c r="G8" s="124" t="n"/>
      <c r="H8" s="124" t="n"/>
      <c r="I8" s="124" t="n"/>
      <c r="J8" s="124" t="n"/>
      <c r="K8" s="124" t="n"/>
      <c r="L8" s="124" t="n"/>
    </row>
    <row r="9">
      <c r="A9" s="123" t="n">
        <v>5</v>
      </c>
      <c r="B9" s="124" t="n"/>
      <c r="C9" s="124" t="n"/>
      <c r="D9" s="124" t="n"/>
      <c r="E9" s="124" t="n"/>
      <c r="F9" s="124" t="n"/>
      <c r="G9" s="124" t="n"/>
      <c r="H9" s="124" t="n"/>
      <c r="I9" s="124" t="n"/>
      <c r="J9" s="124" t="n"/>
      <c r="K9" s="124" t="n"/>
      <c r="L9" s="124" t="n"/>
    </row>
    <row r="10">
      <c r="A10" s="123" t="n">
        <v>6</v>
      </c>
      <c r="B10" s="124" t="n"/>
      <c r="C10" s="124" t="n"/>
      <c r="D10" s="124" t="n"/>
      <c r="E10" s="124" t="n"/>
      <c r="F10" s="124" t="n"/>
      <c r="G10" s="124" t="n"/>
      <c r="H10" s="124" t="n"/>
      <c r="I10" s="124" t="n"/>
      <c r="J10" s="124" t="n"/>
      <c r="K10" s="124" t="n"/>
      <c r="L10" s="124" t="n"/>
    </row>
    <row r="11">
      <c r="A11" s="123" t="n">
        <v>7</v>
      </c>
      <c r="B11" s="124" t="n"/>
      <c r="C11" s="124" t="n"/>
      <c r="D11" s="124" t="n"/>
      <c r="E11" s="124" t="n"/>
      <c r="F11" s="124" t="n"/>
      <c r="G11" s="124" t="n"/>
      <c r="H11" s="124" t="n"/>
      <c r="I11" s="124" t="n"/>
      <c r="J11" s="124" t="n"/>
      <c r="K11" s="124" t="n"/>
      <c r="L11" s="124" t="n"/>
    </row>
    <row r="12">
      <c r="A12" s="123" t="n">
        <v>8</v>
      </c>
      <c r="B12" s="124" t="n"/>
      <c r="C12" s="124" t="n"/>
      <c r="D12" s="124" t="n"/>
      <c r="E12" s="124" t="n"/>
      <c r="F12" s="124" t="n"/>
      <c r="G12" s="124" t="n"/>
      <c r="H12" s="124" t="n"/>
      <c r="I12" s="124" t="n"/>
      <c r="J12" s="124" t="n"/>
      <c r="K12" s="124" t="n"/>
      <c r="L12" s="124" t="n"/>
    </row>
    <row r="13">
      <c r="A13" s="123" t="n">
        <v>9</v>
      </c>
      <c r="B13" s="124" t="n"/>
      <c r="C13" s="124" t="n"/>
      <c r="D13" s="124" t="n"/>
      <c r="E13" s="124" t="n"/>
      <c r="F13" s="124" t="n"/>
      <c r="G13" s="124" t="n"/>
      <c r="H13" s="124" t="n"/>
      <c r="I13" s="124" t="n"/>
      <c r="J13" s="124" t="n"/>
      <c r="K13" s="124" t="n"/>
      <c r="L13" s="124" t="n"/>
    </row>
    <row r="14">
      <c r="A14" s="123" t="n">
        <v>10</v>
      </c>
      <c r="B14" s="124" t="n"/>
      <c r="C14" s="124" t="n"/>
      <c r="D14" s="124" t="n"/>
      <c r="E14" s="124" t="n"/>
      <c r="F14" s="124" t="n"/>
      <c r="G14" s="124" t="n"/>
      <c r="H14" s="124" t="n"/>
      <c r="I14" s="124" t="n"/>
      <c r="J14" s="124" t="n"/>
      <c r="K14" s="124" t="n"/>
      <c r="L14" s="124" t="n"/>
    </row>
    <row r="15">
      <c r="A15" s="123" t="n">
        <v>11</v>
      </c>
      <c r="B15" s="124" t="n"/>
      <c r="C15" s="124" t="n"/>
      <c r="D15" s="124" t="n"/>
      <c r="E15" s="124" t="n"/>
      <c r="F15" s="124" t="n"/>
      <c r="G15" s="124" t="n"/>
      <c r="H15" s="124" t="n"/>
      <c r="I15" s="124" t="n"/>
      <c r="J15" s="124" t="n"/>
      <c r="K15" s="124" t="n"/>
      <c r="L15" s="124" t="n"/>
    </row>
    <row r="16">
      <c r="A16" s="123" t="n">
        <v>12</v>
      </c>
      <c r="B16" s="124" t="n"/>
      <c r="C16" s="124" t="n"/>
      <c r="D16" s="124" t="n"/>
      <c r="E16" s="124" t="n"/>
      <c r="F16" s="124" t="n"/>
      <c r="G16" s="124" t="n"/>
      <c r="H16" s="124" t="n"/>
      <c r="I16" s="124" t="n"/>
      <c r="J16" s="124" t="n"/>
      <c r="K16" s="124" t="n"/>
      <c r="L16" s="124" t="n"/>
    </row>
    <row r="18" ht="22" customHeight="1">
      <c r="A18" s="11" t="inlineStr">
        <is>
          <t>MỤC TIÊU THEO TUẦN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 ht="40" customHeight="1">
      <c r="A19" s="121" t="inlineStr">
        <is>
          <t>Tháng</t>
        </is>
      </c>
      <c r="B19" s="121" t="inlineStr">
        <is>
          <t>Tuần</t>
        </is>
      </c>
      <c r="C19" s="125" t="inlineStr">
        <is>
          <t>Key</t>
        </is>
      </c>
      <c r="D19" s="122" t="inlineStr">
        <is>
          <t>Trang hoàn thành</t>
        </is>
      </c>
      <c r="E19" s="122" t="inlineStr">
        <is>
          <t>Tính năng hoàn thành</t>
        </is>
      </c>
      <c r="F19" s="122" t="inlineStr">
        <is>
          <t>Công việc HT trong kỳ</t>
        </is>
      </c>
      <c r="G19" s="122" t="inlineStr">
        <is>
          <t>Lỗi phát hiện trong kỳ</t>
        </is>
      </c>
      <c r="H19" s="122" t="inlineStr">
        <is>
          <t>Lỗi đã xử lý (lũy kế)</t>
        </is>
      </c>
      <c r="I19" s="122" t="inlineStr">
        <is>
          <t>Số Trang đã xử lý</t>
        </is>
      </c>
      <c r="J19" s="122" t="inlineStr">
        <is>
          <t>Số Tính năng đã xử lý</t>
        </is>
      </c>
      <c r="K19" s="122" t="inlineStr">
        <is>
          <t>DB Doanh nghiệp</t>
        </is>
      </c>
      <c r="L19" s="122" t="inlineStr">
        <is>
          <t>DB HR</t>
        </is>
      </c>
      <c r="M19" s="122" t="inlineStr">
        <is>
          <t>DB Ứng viên</t>
        </is>
      </c>
      <c r="N19" s="122" t="inlineStr">
        <is>
          <t>Tin tuyển dụng</t>
        </is>
      </c>
    </row>
    <row r="20">
      <c r="A20" s="126" t="n">
        <v>1</v>
      </c>
      <c r="B20" s="126" t="n">
        <v>1</v>
      </c>
      <c r="C20" s="127">
        <f>A20*10+B20</f>
        <v/>
      </c>
      <c r="D20" s="124" t="n"/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  <c r="N20" s="124" t="n"/>
    </row>
    <row r="21">
      <c r="A21" s="126" t="n">
        <v>1</v>
      </c>
      <c r="B21" s="126" t="n">
        <v>2</v>
      </c>
      <c r="C21" s="127">
        <f>A21*10+B21</f>
        <v/>
      </c>
      <c r="D21" s="124" t="n"/>
      <c r="E21" s="124" t="n"/>
      <c r="F21" s="124" t="n"/>
      <c r="G21" s="124" t="n"/>
      <c r="H21" s="124" t="n"/>
      <c r="I21" s="124" t="n"/>
      <c r="J21" s="124" t="n"/>
      <c r="K21" s="124" t="n"/>
      <c r="L21" s="124" t="n"/>
      <c r="M21" s="124" t="n"/>
      <c r="N21" s="124" t="n"/>
    </row>
    <row r="22">
      <c r="A22" s="126" t="n">
        <v>1</v>
      </c>
      <c r="B22" s="126" t="n">
        <v>3</v>
      </c>
      <c r="C22" s="127">
        <f>A22*10+B22</f>
        <v/>
      </c>
      <c r="D22" s="124" t="n"/>
      <c r="E22" s="124" t="n"/>
      <c r="F22" s="124" t="n"/>
      <c r="G22" s="124" t="n"/>
      <c r="H22" s="124" t="n"/>
      <c r="I22" s="124" t="n"/>
      <c r="J22" s="124" t="n"/>
      <c r="K22" s="124" t="n"/>
      <c r="L22" s="124" t="n"/>
      <c r="M22" s="124" t="n"/>
      <c r="N22" s="124" t="n"/>
    </row>
    <row r="23">
      <c r="A23" s="126" t="n">
        <v>1</v>
      </c>
      <c r="B23" s="126" t="n">
        <v>4</v>
      </c>
      <c r="C23" s="127">
        <f>A23*10+B23</f>
        <v/>
      </c>
      <c r="D23" s="124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</row>
    <row r="24">
      <c r="A24" s="126" t="n">
        <v>1</v>
      </c>
      <c r="B24" s="126" t="n">
        <v>5</v>
      </c>
      <c r="C24" s="127">
        <f>A24*10+B24</f>
        <v/>
      </c>
      <c r="D24" s="124" t="n"/>
      <c r="E24" s="124" t="n"/>
      <c r="F24" s="124" t="n"/>
      <c r="G24" s="124" t="n"/>
      <c r="H24" s="124" t="n"/>
      <c r="I24" s="124" t="n"/>
      <c r="J24" s="124" t="n"/>
      <c r="K24" s="124" t="n"/>
      <c r="L24" s="124" t="n"/>
      <c r="M24" s="124" t="n"/>
      <c r="N24" s="124" t="n"/>
    </row>
    <row r="25">
      <c r="A25" s="126" t="n">
        <v>2</v>
      </c>
      <c r="B25" s="126" t="n">
        <v>1</v>
      </c>
      <c r="C25" s="127">
        <f>A25*10+B25</f>
        <v/>
      </c>
      <c r="D25" s="124" t="n"/>
      <c r="E25" s="124" t="n"/>
      <c r="F25" s="124" t="n"/>
      <c r="G25" s="124" t="n"/>
      <c r="H25" s="124" t="n"/>
      <c r="I25" s="124" t="n"/>
      <c r="J25" s="124" t="n"/>
      <c r="K25" s="124" t="n"/>
      <c r="L25" s="124" t="n"/>
      <c r="M25" s="124" t="n"/>
      <c r="N25" s="124" t="n"/>
    </row>
    <row r="26">
      <c r="A26" s="126" t="n">
        <v>2</v>
      </c>
      <c r="B26" s="126" t="n">
        <v>2</v>
      </c>
      <c r="C26" s="127">
        <f>A26*10+B26</f>
        <v/>
      </c>
      <c r="D26" s="124" t="n"/>
      <c r="E26" s="124" t="n"/>
      <c r="F26" s="124" t="n"/>
      <c r="G26" s="124" t="n"/>
      <c r="H26" s="124" t="n"/>
      <c r="I26" s="124" t="n"/>
      <c r="J26" s="124" t="n"/>
      <c r="K26" s="124" t="n"/>
      <c r="L26" s="124" t="n"/>
      <c r="M26" s="124" t="n"/>
      <c r="N26" s="124" t="n"/>
    </row>
    <row r="27">
      <c r="A27" s="126" t="n">
        <v>2</v>
      </c>
      <c r="B27" s="126" t="n">
        <v>3</v>
      </c>
      <c r="C27" s="127">
        <f>A27*10+B27</f>
        <v/>
      </c>
      <c r="D27" s="124" t="n"/>
      <c r="E27" s="124" t="n"/>
      <c r="F27" s="124" t="n"/>
      <c r="G27" s="124" t="n"/>
      <c r="H27" s="124" t="n"/>
      <c r="I27" s="124" t="n"/>
      <c r="J27" s="124" t="n"/>
      <c r="K27" s="124" t="n"/>
      <c r="L27" s="124" t="n"/>
      <c r="M27" s="124" t="n"/>
      <c r="N27" s="124" t="n"/>
    </row>
    <row r="28">
      <c r="A28" s="126" t="n">
        <v>2</v>
      </c>
      <c r="B28" s="126" t="n">
        <v>4</v>
      </c>
      <c r="C28" s="127">
        <f>A28*10+B28</f>
        <v/>
      </c>
      <c r="D28" s="124" t="n"/>
      <c r="E28" s="124" t="n"/>
      <c r="F28" s="124" t="n"/>
      <c r="G28" s="124" t="n"/>
      <c r="H28" s="124" t="n"/>
      <c r="I28" s="124" t="n"/>
      <c r="J28" s="124" t="n"/>
      <c r="K28" s="124" t="n"/>
      <c r="L28" s="124" t="n"/>
      <c r="M28" s="124" t="n"/>
      <c r="N28" s="124" t="n"/>
    </row>
    <row r="29">
      <c r="A29" s="126" t="n">
        <v>2</v>
      </c>
      <c r="B29" s="126" t="n">
        <v>5</v>
      </c>
      <c r="C29" s="127">
        <f>A29*10+B29</f>
        <v/>
      </c>
      <c r="D29" s="124" t="n"/>
      <c r="E29" s="124" t="n"/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</row>
    <row r="30">
      <c r="A30" s="126" t="n">
        <v>3</v>
      </c>
      <c r="B30" s="126" t="n">
        <v>1</v>
      </c>
      <c r="C30" s="127">
        <f>A30*10+B30</f>
        <v/>
      </c>
      <c r="D30" s="124" t="n"/>
      <c r="E30" s="124" t="n"/>
      <c r="F30" s="124" t="n"/>
      <c r="G30" s="124" t="n"/>
      <c r="H30" s="124" t="n"/>
      <c r="I30" s="124" t="n"/>
      <c r="J30" s="124" t="n"/>
      <c r="K30" s="124" t="n"/>
      <c r="L30" s="124" t="n"/>
      <c r="M30" s="124" t="n"/>
      <c r="N30" s="124" t="n"/>
    </row>
    <row r="31">
      <c r="A31" s="126" t="n">
        <v>3</v>
      </c>
      <c r="B31" s="126" t="n">
        <v>2</v>
      </c>
      <c r="C31" s="127">
        <f>A31*10+B31</f>
        <v/>
      </c>
      <c r="D31" s="124" t="n"/>
      <c r="E31" s="124" t="n"/>
      <c r="F31" s="124" t="n"/>
      <c r="G31" s="124" t="n"/>
      <c r="H31" s="124" t="n"/>
      <c r="I31" s="124" t="n"/>
      <c r="J31" s="124" t="n"/>
      <c r="K31" s="124" t="n"/>
      <c r="L31" s="124" t="n"/>
      <c r="M31" s="124" t="n"/>
      <c r="N31" s="124" t="n"/>
    </row>
    <row r="32">
      <c r="A32" s="126" t="n">
        <v>3</v>
      </c>
      <c r="B32" s="126" t="n">
        <v>3</v>
      </c>
      <c r="C32" s="127">
        <f>A32*10+B32</f>
        <v/>
      </c>
      <c r="D32" s="124" t="n"/>
      <c r="E32" s="124" t="n"/>
      <c r="F32" s="124" t="n"/>
      <c r="G32" s="124" t="n"/>
      <c r="H32" s="124" t="n"/>
      <c r="I32" s="124" t="n"/>
      <c r="J32" s="124" t="n"/>
      <c r="K32" s="124" t="n"/>
      <c r="L32" s="124" t="n"/>
      <c r="M32" s="124" t="n"/>
      <c r="N32" s="124" t="n"/>
    </row>
    <row r="33">
      <c r="A33" s="126" t="n">
        <v>3</v>
      </c>
      <c r="B33" s="126" t="n">
        <v>4</v>
      </c>
      <c r="C33" s="127">
        <f>A33*10+B33</f>
        <v/>
      </c>
      <c r="D33" s="124" t="n"/>
      <c r="E33" s="124" t="n"/>
      <c r="F33" s="124" t="n"/>
      <c r="G33" s="124" t="n"/>
      <c r="H33" s="124" t="n"/>
      <c r="I33" s="124" t="n"/>
      <c r="J33" s="124" t="n"/>
      <c r="K33" s="124" t="n"/>
      <c r="L33" s="124" t="n"/>
      <c r="M33" s="124" t="n"/>
      <c r="N33" s="124" t="n"/>
    </row>
    <row r="34">
      <c r="A34" s="126" t="n">
        <v>3</v>
      </c>
      <c r="B34" s="126" t="n">
        <v>5</v>
      </c>
      <c r="C34" s="127">
        <f>A34*10+B34</f>
        <v/>
      </c>
      <c r="D34" s="124" t="n"/>
      <c r="E34" s="124" t="n"/>
      <c r="F34" s="124" t="n"/>
      <c r="G34" s="124" t="n"/>
      <c r="H34" s="124" t="n"/>
      <c r="I34" s="124" t="n"/>
      <c r="J34" s="124" t="n"/>
      <c r="K34" s="124" t="n"/>
      <c r="L34" s="124" t="n"/>
      <c r="M34" s="124" t="n"/>
      <c r="N34" s="124" t="n"/>
    </row>
    <row r="35">
      <c r="A35" s="126" t="n">
        <v>4</v>
      </c>
      <c r="B35" s="126" t="n">
        <v>1</v>
      </c>
      <c r="C35" s="127">
        <f>A35*10+B35</f>
        <v/>
      </c>
      <c r="D35" s="124" t="n"/>
      <c r="E35" s="124" t="n"/>
      <c r="F35" s="124" t="n"/>
      <c r="G35" s="124" t="n"/>
      <c r="H35" s="124" t="n"/>
      <c r="I35" s="124" t="n"/>
      <c r="J35" s="124" t="n"/>
      <c r="K35" s="124" t="n"/>
      <c r="L35" s="124" t="n"/>
      <c r="M35" s="124" t="n"/>
      <c r="N35" s="124" t="n"/>
    </row>
    <row r="36">
      <c r="A36" s="126" t="n">
        <v>4</v>
      </c>
      <c r="B36" s="126" t="n">
        <v>2</v>
      </c>
      <c r="C36" s="127">
        <f>A36*10+B36</f>
        <v/>
      </c>
      <c r="D36" s="124" t="n"/>
      <c r="E36" s="124" t="n"/>
      <c r="F36" s="124" t="n"/>
      <c r="G36" s="124" t="n"/>
      <c r="H36" s="124" t="n"/>
      <c r="I36" s="124" t="n"/>
      <c r="J36" s="124" t="n"/>
      <c r="K36" s="124" t="n"/>
      <c r="L36" s="124" t="n"/>
      <c r="M36" s="124" t="n"/>
      <c r="N36" s="124" t="n"/>
    </row>
    <row r="37">
      <c r="A37" s="126" t="n">
        <v>4</v>
      </c>
      <c r="B37" s="126" t="n">
        <v>3</v>
      </c>
      <c r="C37" s="127">
        <f>A37*10+B37</f>
        <v/>
      </c>
      <c r="D37" s="124" t="n"/>
      <c r="E37" s="124" t="n"/>
      <c r="F37" s="124" t="n"/>
      <c r="G37" s="124" t="n"/>
      <c r="H37" s="124" t="n"/>
      <c r="I37" s="124" t="n"/>
      <c r="J37" s="124" t="n"/>
      <c r="K37" s="124" t="n"/>
      <c r="L37" s="124" t="n"/>
      <c r="M37" s="124" t="n"/>
      <c r="N37" s="124" t="n"/>
    </row>
    <row r="38">
      <c r="A38" s="126" t="n">
        <v>4</v>
      </c>
      <c r="B38" s="126" t="n">
        <v>4</v>
      </c>
      <c r="C38" s="127">
        <f>A38*10+B38</f>
        <v/>
      </c>
      <c r="D38" s="124" t="n"/>
      <c r="E38" s="124" t="n"/>
      <c r="F38" s="124" t="n"/>
      <c r="G38" s="124" t="n"/>
      <c r="H38" s="124" t="n"/>
      <c r="I38" s="124" t="n"/>
      <c r="J38" s="124" t="n"/>
      <c r="K38" s="124" t="n"/>
      <c r="L38" s="124" t="n"/>
      <c r="M38" s="124" t="n"/>
      <c r="N38" s="124" t="n"/>
    </row>
    <row r="39">
      <c r="A39" s="126" t="n">
        <v>4</v>
      </c>
      <c r="B39" s="126" t="n">
        <v>5</v>
      </c>
      <c r="C39" s="127">
        <f>A39*10+B39</f>
        <v/>
      </c>
      <c r="D39" s="124" t="n"/>
      <c r="E39" s="124" t="n"/>
      <c r="F39" s="124" t="n"/>
      <c r="G39" s="124" t="n"/>
      <c r="H39" s="124" t="n"/>
      <c r="I39" s="124" t="n"/>
      <c r="J39" s="124" t="n"/>
      <c r="K39" s="124" t="n"/>
      <c r="L39" s="124" t="n"/>
      <c r="M39" s="124" t="n"/>
      <c r="N39" s="124" t="n"/>
    </row>
    <row r="40">
      <c r="A40" s="126" t="n">
        <v>5</v>
      </c>
      <c r="B40" s="126" t="n">
        <v>1</v>
      </c>
      <c r="C40" s="127">
        <f>A40*10+B40</f>
        <v/>
      </c>
      <c r="D40" s="124" t="n"/>
      <c r="E40" s="124" t="n"/>
      <c r="F40" s="124" t="n"/>
      <c r="G40" s="124" t="n"/>
      <c r="H40" s="124" t="n"/>
      <c r="I40" s="124" t="n"/>
      <c r="J40" s="124" t="n"/>
      <c r="K40" s="124" t="n"/>
      <c r="L40" s="124" t="n"/>
      <c r="M40" s="124" t="n"/>
      <c r="N40" s="124" t="n"/>
    </row>
    <row r="41">
      <c r="A41" s="126" t="n">
        <v>5</v>
      </c>
      <c r="B41" s="126" t="n">
        <v>2</v>
      </c>
      <c r="C41" s="127">
        <f>A41*10+B41</f>
        <v/>
      </c>
      <c r="D41" s="124" t="n"/>
      <c r="E41" s="124" t="n"/>
      <c r="F41" s="124" t="n"/>
      <c r="G41" s="124" t="n"/>
      <c r="H41" s="124" t="n"/>
      <c r="I41" s="124" t="n"/>
      <c r="J41" s="124" t="n"/>
      <c r="K41" s="124" t="n"/>
      <c r="L41" s="124" t="n"/>
      <c r="M41" s="124" t="n"/>
      <c r="N41" s="124" t="n"/>
    </row>
    <row r="42">
      <c r="A42" s="126" t="n">
        <v>5</v>
      </c>
      <c r="B42" s="126" t="n">
        <v>3</v>
      </c>
      <c r="C42" s="127">
        <f>A42*10+B42</f>
        <v/>
      </c>
      <c r="D42" s="124" t="n"/>
      <c r="E42" s="124" t="n"/>
      <c r="F42" s="124" t="n"/>
      <c r="G42" s="124" t="n"/>
      <c r="H42" s="124" t="n"/>
      <c r="I42" s="124" t="n"/>
      <c r="J42" s="124" t="n"/>
      <c r="K42" s="124" t="n"/>
      <c r="L42" s="124" t="n"/>
      <c r="M42" s="124" t="n"/>
      <c r="N42" s="124" t="n"/>
    </row>
    <row r="43">
      <c r="A43" s="126" t="n">
        <v>5</v>
      </c>
      <c r="B43" s="126" t="n">
        <v>4</v>
      </c>
      <c r="C43" s="127">
        <f>A43*10+B43</f>
        <v/>
      </c>
      <c r="D43" s="124" t="n"/>
      <c r="E43" s="124" t="n"/>
      <c r="F43" s="124" t="n"/>
      <c r="G43" s="124" t="n"/>
      <c r="H43" s="124" t="n"/>
      <c r="I43" s="124" t="n"/>
      <c r="J43" s="124" t="n"/>
      <c r="K43" s="124" t="n"/>
      <c r="L43" s="124" t="n"/>
      <c r="M43" s="124" t="n"/>
      <c r="N43" s="124" t="n"/>
    </row>
    <row r="44">
      <c r="A44" s="126" t="n">
        <v>5</v>
      </c>
      <c r="B44" s="126" t="n">
        <v>5</v>
      </c>
      <c r="C44" s="127">
        <f>A44*10+B44</f>
        <v/>
      </c>
      <c r="D44" s="124" t="n"/>
      <c r="E44" s="124" t="n"/>
      <c r="F44" s="124" t="n"/>
      <c r="G44" s="124" t="n"/>
      <c r="H44" s="124" t="n"/>
      <c r="I44" s="124" t="n"/>
      <c r="J44" s="124" t="n"/>
      <c r="K44" s="124" t="n"/>
      <c r="L44" s="124" t="n"/>
      <c r="M44" s="124" t="n"/>
      <c r="N44" s="124" t="n"/>
    </row>
    <row r="45">
      <c r="A45" s="126" t="n">
        <v>6</v>
      </c>
      <c r="B45" s="126" t="n">
        <v>1</v>
      </c>
      <c r="C45" s="127">
        <f>A45*10+B45</f>
        <v/>
      </c>
      <c r="D45" s="124" t="n"/>
      <c r="E45" s="124" t="n"/>
      <c r="F45" s="124" t="n"/>
      <c r="G45" s="124" t="n"/>
      <c r="H45" s="124" t="n"/>
      <c r="I45" s="124" t="n"/>
      <c r="J45" s="124" t="n"/>
      <c r="K45" s="124" t="n"/>
      <c r="L45" s="124" t="n"/>
      <c r="M45" s="124" t="n"/>
      <c r="N45" s="124" t="n"/>
    </row>
    <row r="46">
      <c r="A46" s="126" t="n">
        <v>6</v>
      </c>
      <c r="B46" s="126" t="n">
        <v>2</v>
      </c>
      <c r="C46" s="127">
        <f>A46*10+B46</f>
        <v/>
      </c>
      <c r="D46" s="124" t="n"/>
      <c r="E46" s="124" t="n"/>
      <c r="F46" s="124" t="n"/>
      <c r="G46" s="124" t="n"/>
      <c r="H46" s="124" t="n"/>
      <c r="I46" s="124" t="n"/>
      <c r="J46" s="124" t="n"/>
      <c r="K46" s="124" t="n"/>
      <c r="L46" s="124" t="n"/>
      <c r="M46" s="124" t="n"/>
      <c r="N46" s="124" t="n"/>
    </row>
    <row r="47">
      <c r="A47" s="126" t="n">
        <v>6</v>
      </c>
      <c r="B47" s="126" t="n">
        <v>3</v>
      </c>
      <c r="C47" s="127">
        <f>A47*10+B47</f>
        <v/>
      </c>
      <c r="D47" s="124" t="n"/>
      <c r="E47" s="124" t="n"/>
      <c r="F47" s="124" t="n"/>
      <c r="G47" s="124" t="n"/>
      <c r="H47" s="124" t="n"/>
      <c r="I47" s="124" t="n"/>
      <c r="J47" s="124" t="n"/>
      <c r="K47" s="124" t="n"/>
      <c r="L47" s="124" t="n"/>
      <c r="M47" s="124" t="n"/>
      <c r="N47" s="124" t="n"/>
    </row>
    <row r="48">
      <c r="A48" s="126" t="n">
        <v>6</v>
      </c>
      <c r="B48" s="126" t="n">
        <v>4</v>
      </c>
      <c r="C48" s="127">
        <f>A48*10+B48</f>
        <v/>
      </c>
      <c r="D48" s="124" t="n"/>
      <c r="E48" s="124" t="n"/>
      <c r="F48" s="124" t="n"/>
      <c r="G48" s="124" t="n"/>
      <c r="H48" s="124" t="n"/>
      <c r="I48" s="124" t="n"/>
      <c r="J48" s="124" t="n"/>
      <c r="K48" s="124" t="n"/>
      <c r="L48" s="124" t="n"/>
      <c r="M48" s="124" t="n"/>
      <c r="N48" s="124" t="n"/>
    </row>
    <row r="49">
      <c r="A49" s="126" t="n">
        <v>6</v>
      </c>
      <c r="B49" s="126" t="n">
        <v>5</v>
      </c>
      <c r="C49" s="127">
        <f>A49*10+B49</f>
        <v/>
      </c>
      <c r="D49" s="124" t="n"/>
      <c r="E49" s="124" t="n"/>
      <c r="F49" s="124" t="n"/>
      <c r="G49" s="124" t="n"/>
      <c r="H49" s="124" t="n"/>
      <c r="I49" s="124" t="n"/>
      <c r="J49" s="124" t="n"/>
      <c r="K49" s="124" t="n"/>
      <c r="L49" s="124" t="n"/>
      <c r="M49" s="124" t="n"/>
      <c r="N49" s="124" t="n"/>
    </row>
    <row r="50">
      <c r="A50" s="126" t="n">
        <v>7</v>
      </c>
      <c r="B50" s="126" t="n">
        <v>1</v>
      </c>
      <c r="C50" s="127">
        <f>A50*10+B50</f>
        <v/>
      </c>
      <c r="D50" s="124" t="n"/>
      <c r="E50" s="124" t="n"/>
      <c r="F50" s="124" t="n"/>
      <c r="G50" s="124" t="n"/>
      <c r="H50" s="124" t="n"/>
      <c r="I50" s="124" t="n"/>
      <c r="J50" s="124" t="n"/>
      <c r="K50" s="124" t="n"/>
      <c r="L50" s="124" t="n"/>
      <c r="M50" s="124" t="n"/>
      <c r="N50" s="124" t="n"/>
    </row>
    <row r="51">
      <c r="A51" s="126" t="n">
        <v>7</v>
      </c>
      <c r="B51" s="126" t="n">
        <v>2</v>
      </c>
      <c r="C51" s="127">
        <f>A51*10+B51</f>
        <v/>
      </c>
      <c r="D51" s="124" t="n"/>
      <c r="E51" s="124" t="n"/>
      <c r="F51" s="124" t="n"/>
      <c r="G51" s="124" t="n"/>
      <c r="H51" s="124" t="n"/>
      <c r="I51" s="124" t="n"/>
      <c r="J51" s="124" t="n"/>
      <c r="K51" s="124" t="n"/>
      <c r="L51" s="124" t="n"/>
      <c r="M51" s="124" t="n"/>
      <c r="N51" s="124" t="n"/>
    </row>
    <row r="52">
      <c r="A52" s="126" t="n">
        <v>7</v>
      </c>
      <c r="B52" s="126" t="n">
        <v>3</v>
      </c>
      <c r="C52" s="127">
        <f>A52*10+B52</f>
        <v/>
      </c>
      <c r="D52" s="124" t="n"/>
      <c r="E52" s="124" t="n"/>
      <c r="F52" s="124" t="n"/>
      <c r="G52" s="124" t="n"/>
      <c r="H52" s="124" t="n"/>
      <c r="I52" s="124" t="n"/>
      <c r="J52" s="124" t="n"/>
      <c r="K52" s="124" t="n"/>
      <c r="L52" s="124" t="n"/>
      <c r="M52" s="124" t="n"/>
      <c r="N52" s="124" t="n"/>
    </row>
    <row r="53">
      <c r="A53" s="126" t="n">
        <v>7</v>
      </c>
      <c r="B53" s="126" t="n">
        <v>4</v>
      </c>
      <c r="C53" s="127">
        <f>A53*10+B53</f>
        <v/>
      </c>
      <c r="D53" s="124" t="n"/>
      <c r="E53" s="124" t="n"/>
      <c r="F53" s="124" t="n"/>
      <c r="G53" s="124" t="n"/>
      <c r="H53" s="124" t="n"/>
      <c r="I53" s="124" t="n"/>
      <c r="J53" s="124" t="n"/>
      <c r="K53" s="124" t="n"/>
      <c r="L53" s="124" t="n"/>
      <c r="M53" s="124" t="n"/>
      <c r="N53" s="124" t="n"/>
    </row>
    <row r="54">
      <c r="A54" s="126" t="n">
        <v>7</v>
      </c>
      <c r="B54" s="126" t="n">
        <v>5</v>
      </c>
      <c r="C54" s="127">
        <f>A54*10+B54</f>
        <v/>
      </c>
      <c r="D54" s="124" t="n"/>
      <c r="E54" s="124" t="n"/>
      <c r="F54" s="124" t="n"/>
      <c r="G54" s="124" t="n"/>
      <c r="H54" s="124" t="n"/>
      <c r="I54" s="124" t="n"/>
      <c r="J54" s="124" t="n"/>
      <c r="K54" s="124" t="n"/>
      <c r="L54" s="124" t="n"/>
      <c r="M54" s="124" t="n"/>
      <c r="N54" s="124" t="n"/>
    </row>
    <row r="55">
      <c r="A55" s="126" t="n">
        <v>8</v>
      </c>
      <c r="B55" s="126" t="n">
        <v>1</v>
      </c>
      <c r="C55" s="127">
        <f>A55*10+B55</f>
        <v/>
      </c>
      <c r="D55" s="124" t="n"/>
      <c r="E55" s="124" t="n"/>
      <c r="F55" s="124" t="n"/>
      <c r="G55" s="124" t="n"/>
      <c r="H55" s="124" t="n"/>
      <c r="I55" s="124" t="n"/>
      <c r="J55" s="124" t="n"/>
      <c r="K55" s="124" t="n"/>
      <c r="L55" s="124" t="n"/>
      <c r="M55" s="124" t="n"/>
      <c r="N55" s="124" t="n"/>
    </row>
    <row r="56">
      <c r="A56" s="126" t="n">
        <v>8</v>
      </c>
      <c r="B56" s="126" t="n">
        <v>2</v>
      </c>
      <c r="C56" s="127">
        <f>A56*10+B56</f>
        <v/>
      </c>
      <c r="D56" s="124" t="n"/>
      <c r="E56" s="124" t="n"/>
      <c r="F56" s="124" t="n"/>
      <c r="G56" s="124" t="n"/>
      <c r="H56" s="124" t="n"/>
      <c r="I56" s="124" t="n"/>
      <c r="J56" s="124" t="n"/>
      <c r="K56" s="124" t="n"/>
      <c r="L56" s="124" t="n"/>
      <c r="M56" s="124" t="n"/>
      <c r="N56" s="124" t="n"/>
    </row>
    <row r="57">
      <c r="A57" s="126" t="n">
        <v>8</v>
      </c>
      <c r="B57" s="126" t="n">
        <v>3</v>
      </c>
      <c r="C57" s="127">
        <f>A57*10+B57</f>
        <v/>
      </c>
      <c r="D57" s="124" t="n"/>
      <c r="E57" s="124" t="n"/>
      <c r="F57" s="124" t="n"/>
      <c r="G57" s="124" t="n"/>
      <c r="H57" s="124" t="n"/>
      <c r="I57" s="124" t="n"/>
      <c r="J57" s="124" t="n"/>
      <c r="K57" s="124" t="n"/>
      <c r="L57" s="124" t="n"/>
      <c r="M57" s="124" t="n"/>
      <c r="N57" s="124" t="n"/>
    </row>
    <row r="58">
      <c r="A58" s="126" t="n">
        <v>8</v>
      </c>
      <c r="B58" s="126" t="n">
        <v>4</v>
      </c>
      <c r="C58" s="127">
        <f>A58*10+B58</f>
        <v/>
      </c>
      <c r="D58" s="124" t="n"/>
      <c r="E58" s="124" t="n"/>
      <c r="F58" s="124" t="n"/>
      <c r="G58" s="124" t="n"/>
      <c r="H58" s="124" t="n"/>
      <c r="I58" s="124" t="n"/>
      <c r="J58" s="124" t="n"/>
      <c r="K58" s="124" t="n"/>
      <c r="L58" s="124" t="n"/>
      <c r="M58" s="124" t="n"/>
      <c r="N58" s="124" t="n"/>
    </row>
    <row r="59">
      <c r="A59" s="126" t="n">
        <v>8</v>
      </c>
      <c r="B59" s="126" t="n">
        <v>5</v>
      </c>
      <c r="C59" s="127">
        <f>A59*10+B59</f>
        <v/>
      </c>
      <c r="D59" s="124" t="n"/>
      <c r="E59" s="124" t="n"/>
      <c r="F59" s="124" t="n"/>
      <c r="G59" s="124" t="n"/>
      <c r="H59" s="124" t="n"/>
      <c r="I59" s="124" t="n"/>
      <c r="J59" s="124" t="n"/>
      <c r="K59" s="124" t="n"/>
      <c r="L59" s="124" t="n"/>
      <c r="M59" s="124" t="n"/>
      <c r="N59" s="124" t="n"/>
    </row>
    <row r="60">
      <c r="A60" s="126" t="n">
        <v>9</v>
      </c>
      <c r="B60" s="126" t="n">
        <v>1</v>
      </c>
      <c r="C60" s="127">
        <f>A60*10+B60</f>
        <v/>
      </c>
      <c r="D60" s="124" t="n"/>
      <c r="E60" s="124" t="n"/>
      <c r="F60" s="124" t="n"/>
      <c r="G60" s="124" t="n"/>
      <c r="H60" s="124" t="n"/>
      <c r="I60" s="124" t="n"/>
      <c r="J60" s="124" t="n"/>
      <c r="K60" s="124" t="n"/>
      <c r="L60" s="124" t="n"/>
      <c r="M60" s="124" t="n"/>
      <c r="N60" s="124" t="n"/>
    </row>
    <row r="61">
      <c r="A61" s="126" t="n">
        <v>9</v>
      </c>
      <c r="B61" s="126" t="n">
        <v>2</v>
      </c>
      <c r="C61" s="127">
        <f>A61*10+B61</f>
        <v/>
      </c>
      <c r="D61" s="124" t="n"/>
      <c r="E61" s="124" t="n"/>
      <c r="F61" s="124" t="n"/>
      <c r="G61" s="124" t="n"/>
      <c r="H61" s="124" t="n"/>
      <c r="I61" s="124" t="n"/>
      <c r="J61" s="124" t="n"/>
      <c r="K61" s="124" t="n"/>
      <c r="L61" s="124" t="n"/>
      <c r="M61" s="124" t="n"/>
      <c r="N61" s="124" t="n"/>
    </row>
    <row r="62">
      <c r="A62" s="126" t="n">
        <v>9</v>
      </c>
      <c r="B62" s="126" t="n">
        <v>3</v>
      </c>
      <c r="C62" s="127">
        <f>A62*10+B62</f>
        <v/>
      </c>
      <c r="D62" s="124" t="n"/>
      <c r="E62" s="124" t="n"/>
      <c r="F62" s="124" t="n"/>
      <c r="G62" s="124" t="n"/>
      <c r="H62" s="124" t="n"/>
      <c r="I62" s="124" t="n"/>
      <c r="J62" s="124" t="n"/>
      <c r="K62" s="124" t="n"/>
      <c r="L62" s="124" t="n"/>
      <c r="M62" s="124" t="n"/>
      <c r="N62" s="124" t="n"/>
    </row>
    <row r="63">
      <c r="A63" s="126" t="n">
        <v>9</v>
      </c>
      <c r="B63" s="126" t="n">
        <v>4</v>
      </c>
      <c r="C63" s="127">
        <f>A63*10+B63</f>
        <v/>
      </c>
      <c r="D63" s="124" t="n"/>
      <c r="E63" s="124" t="n"/>
      <c r="F63" s="124" t="n"/>
      <c r="G63" s="124" t="n"/>
      <c r="H63" s="124" t="n"/>
      <c r="I63" s="124" t="n"/>
      <c r="J63" s="124" t="n"/>
      <c r="K63" s="124" t="n"/>
      <c r="L63" s="124" t="n"/>
      <c r="M63" s="124" t="n"/>
      <c r="N63" s="124" t="n"/>
    </row>
    <row r="64">
      <c r="A64" s="126" t="n">
        <v>9</v>
      </c>
      <c r="B64" s="126" t="n">
        <v>5</v>
      </c>
      <c r="C64" s="127">
        <f>A64*10+B64</f>
        <v/>
      </c>
      <c r="D64" s="124" t="n"/>
      <c r="E64" s="124" t="n"/>
      <c r="F64" s="124" t="n"/>
      <c r="G64" s="124" t="n"/>
      <c r="H64" s="124" t="n"/>
      <c r="I64" s="124" t="n"/>
      <c r="J64" s="124" t="n"/>
      <c r="K64" s="124" t="n"/>
      <c r="L64" s="124" t="n"/>
      <c r="M64" s="124" t="n"/>
      <c r="N64" s="124" t="n"/>
    </row>
    <row r="65">
      <c r="A65" s="126" t="n">
        <v>10</v>
      </c>
      <c r="B65" s="126" t="n">
        <v>1</v>
      </c>
      <c r="C65" s="127">
        <f>A65*10+B65</f>
        <v/>
      </c>
      <c r="D65" s="124" t="n"/>
      <c r="E65" s="124" t="n"/>
      <c r="F65" s="124" t="n"/>
      <c r="G65" s="124" t="n"/>
      <c r="H65" s="124" t="n"/>
      <c r="I65" s="124" t="n"/>
      <c r="J65" s="124" t="n"/>
      <c r="K65" s="124" t="n"/>
      <c r="L65" s="124" t="n"/>
      <c r="M65" s="124" t="n"/>
      <c r="N65" s="124" t="n"/>
    </row>
    <row r="66">
      <c r="A66" s="126" t="n">
        <v>10</v>
      </c>
      <c r="B66" s="126" t="n">
        <v>2</v>
      </c>
      <c r="C66" s="127">
        <f>A66*10+B66</f>
        <v/>
      </c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</row>
    <row r="67">
      <c r="A67" s="126" t="n">
        <v>10</v>
      </c>
      <c r="B67" s="126" t="n">
        <v>3</v>
      </c>
      <c r="C67" s="127">
        <f>A67*10+B67</f>
        <v/>
      </c>
      <c r="D67" s="124" t="n"/>
      <c r="E67" s="124" t="n"/>
      <c r="F67" s="124" t="n"/>
      <c r="G67" s="124" t="n"/>
      <c r="H67" s="124" t="n"/>
      <c r="I67" s="124" t="n"/>
      <c r="J67" s="124" t="n"/>
      <c r="K67" s="124" t="n"/>
      <c r="L67" s="124" t="n"/>
      <c r="M67" s="124" t="n"/>
      <c r="N67" s="124" t="n"/>
    </row>
    <row r="68">
      <c r="A68" s="126" t="n">
        <v>10</v>
      </c>
      <c r="B68" s="126" t="n">
        <v>4</v>
      </c>
      <c r="C68" s="127">
        <f>A68*10+B68</f>
        <v/>
      </c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</row>
    <row r="69">
      <c r="A69" s="126" t="n">
        <v>10</v>
      </c>
      <c r="B69" s="126" t="n">
        <v>5</v>
      </c>
      <c r="C69" s="127">
        <f>A69*10+B69</f>
        <v/>
      </c>
      <c r="D69" s="124" t="n"/>
      <c r="E69" s="124" t="n"/>
      <c r="F69" s="124" t="n"/>
      <c r="G69" s="124" t="n"/>
      <c r="H69" s="124" t="n"/>
      <c r="I69" s="124" t="n"/>
      <c r="J69" s="124" t="n"/>
      <c r="K69" s="124" t="n"/>
      <c r="L69" s="124" t="n"/>
      <c r="M69" s="124" t="n"/>
      <c r="N69" s="124" t="n"/>
    </row>
    <row r="70">
      <c r="A70" s="126" t="n">
        <v>11</v>
      </c>
      <c r="B70" s="126" t="n">
        <v>1</v>
      </c>
      <c r="C70" s="127">
        <f>A70*10+B70</f>
        <v/>
      </c>
      <c r="D70" s="124" t="n"/>
      <c r="E70" s="124" t="n"/>
      <c r="F70" s="124" t="n"/>
      <c r="G70" s="124" t="n"/>
      <c r="H70" s="124" t="n"/>
      <c r="I70" s="124" t="n"/>
      <c r="J70" s="124" t="n"/>
      <c r="K70" s="124" t="n"/>
      <c r="L70" s="124" t="n"/>
      <c r="M70" s="124" t="n"/>
      <c r="N70" s="124" t="n"/>
    </row>
    <row r="71">
      <c r="A71" s="126" t="n">
        <v>11</v>
      </c>
      <c r="B71" s="126" t="n">
        <v>2</v>
      </c>
      <c r="C71" s="127">
        <f>A71*10+B71</f>
        <v/>
      </c>
      <c r="D71" s="124" t="n"/>
      <c r="E71" s="124" t="n"/>
      <c r="F71" s="124" t="n"/>
      <c r="G71" s="124" t="n"/>
      <c r="H71" s="124" t="n"/>
      <c r="I71" s="124" t="n"/>
      <c r="J71" s="124" t="n"/>
      <c r="K71" s="124" t="n"/>
      <c r="L71" s="124" t="n"/>
      <c r="M71" s="124" t="n"/>
      <c r="N71" s="124" t="n"/>
    </row>
    <row r="72">
      <c r="A72" s="126" t="n">
        <v>11</v>
      </c>
      <c r="B72" s="126" t="n">
        <v>3</v>
      </c>
      <c r="C72" s="127">
        <f>A72*10+B72</f>
        <v/>
      </c>
      <c r="D72" s="124" t="n"/>
      <c r="E72" s="124" t="n"/>
      <c r="F72" s="124" t="n"/>
      <c r="G72" s="124" t="n"/>
      <c r="H72" s="124" t="n"/>
      <c r="I72" s="124" t="n"/>
      <c r="J72" s="124" t="n"/>
      <c r="K72" s="124" t="n"/>
      <c r="L72" s="124" t="n"/>
      <c r="M72" s="124" t="n"/>
      <c r="N72" s="124" t="n"/>
    </row>
    <row r="73">
      <c r="A73" s="126" t="n">
        <v>11</v>
      </c>
      <c r="B73" s="126" t="n">
        <v>4</v>
      </c>
      <c r="C73" s="127">
        <f>A73*10+B73</f>
        <v/>
      </c>
      <c r="D73" s="124" t="n"/>
      <c r="E73" s="124" t="n"/>
      <c r="F73" s="124" t="n"/>
      <c r="G73" s="124" t="n"/>
      <c r="H73" s="124" t="n"/>
      <c r="I73" s="124" t="n"/>
      <c r="J73" s="124" t="n"/>
      <c r="K73" s="124" t="n"/>
      <c r="L73" s="124" t="n"/>
      <c r="M73" s="124" t="n"/>
      <c r="N73" s="124" t="n"/>
    </row>
    <row r="74">
      <c r="A74" s="126" t="n">
        <v>11</v>
      </c>
      <c r="B74" s="126" t="n">
        <v>5</v>
      </c>
      <c r="C74" s="127">
        <f>A74*10+B74</f>
        <v/>
      </c>
      <c r="D74" s="124" t="n"/>
      <c r="E74" s="124" t="n"/>
      <c r="F74" s="124" t="n"/>
      <c r="G74" s="124" t="n"/>
      <c r="H74" s="124" t="n"/>
      <c r="I74" s="124" t="n"/>
      <c r="J74" s="124" t="n"/>
      <c r="K74" s="124" t="n"/>
      <c r="L74" s="124" t="n"/>
      <c r="M74" s="124" t="n"/>
      <c r="N74" s="124" t="n"/>
    </row>
    <row r="75">
      <c r="A75" s="126" t="n">
        <v>12</v>
      </c>
      <c r="B75" s="126" t="n">
        <v>1</v>
      </c>
      <c r="C75" s="127">
        <f>A75*10+B75</f>
        <v/>
      </c>
      <c r="D75" s="124" t="n"/>
      <c r="E75" s="124" t="n"/>
      <c r="F75" s="124" t="n"/>
      <c r="G75" s="124" t="n"/>
      <c r="H75" s="124" t="n"/>
      <c r="I75" s="124" t="n"/>
      <c r="J75" s="124" t="n"/>
      <c r="K75" s="124" t="n"/>
      <c r="L75" s="124" t="n"/>
      <c r="M75" s="124" t="n"/>
      <c r="N75" s="124" t="n"/>
    </row>
    <row r="76">
      <c r="A76" s="126" t="n">
        <v>12</v>
      </c>
      <c r="B76" s="126" t="n">
        <v>2</v>
      </c>
      <c r="C76" s="127">
        <f>A76*10+B76</f>
        <v/>
      </c>
      <c r="D76" s="124" t="n"/>
      <c r="E76" s="124" t="n"/>
      <c r="F76" s="124" t="n"/>
      <c r="G76" s="124" t="n"/>
      <c r="H76" s="124" t="n"/>
      <c r="I76" s="124" t="n"/>
      <c r="J76" s="124" t="n"/>
      <c r="K76" s="124" t="n"/>
      <c r="L76" s="124" t="n"/>
      <c r="M76" s="124" t="n"/>
      <c r="N76" s="124" t="n"/>
    </row>
    <row r="77">
      <c r="A77" s="126" t="n">
        <v>12</v>
      </c>
      <c r="B77" s="126" t="n">
        <v>3</v>
      </c>
      <c r="C77" s="127">
        <f>A77*10+B77</f>
        <v/>
      </c>
      <c r="D77" s="124" t="n"/>
      <c r="E77" s="124" t="n"/>
      <c r="F77" s="124" t="n"/>
      <c r="G77" s="124" t="n"/>
      <c r="H77" s="124" t="n"/>
      <c r="I77" s="124" t="n"/>
      <c r="J77" s="124" t="n"/>
      <c r="K77" s="124" t="n"/>
      <c r="L77" s="124" t="n"/>
      <c r="M77" s="124" t="n"/>
      <c r="N77" s="124" t="n"/>
    </row>
    <row r="78">
      <c r="A78" s="126" t="n">
        <v>12</v>
      </c>
      <c r="B78" s="126" t="n">
        <v>4</v>
      </c>
      <c r="C78" s="127">
        <f>A78*10+B78</f>
        <v/>
      </c>
      <c r="D78" s="124" t="n"/>
      <c r="E78" s="124" t="n"/>
      <c r="F78" s="124" t="n"/>
      <c r="G78" s="124" t="n"/>
      <c r="H78" s="124" t="n"/>
      <c r="I78" s="124" t="n"/>
      <c r="J78" s="124" t="n"/>
      <c r="K78" s="124" t="n"/>
      <c r="L78" s="124" t="n"/>
      <c r="M78" s="124" t="n"/>
      <c r="N78" s="124" t="n"/>
    </row>
    <row r="79">
      <c r="A79" s="126" t="n">
        <v>12</v>
      </c>
      <c r="B79" s="126" t="n">
        <v>5</v>
      </c>
      <c r="C79" s="127">
        <f>A79*10+B79</f>
        <v/>
      </c>
      <c r="D79" s="124" t="n"/>
      <c r="E79" s="124" t="n"/>
      <c r="F79" s="124" t="n"/>
      <c r="G79" s="124" t="n"/>
      <c r="H79" s="124" t="n"/>
      <c r="I79" s="124" t="n"/>
      <c r="J79" s="124" t="n"/>
      <c r="K79" s="124" t="n"/>
      <c r="L79" s="124" t="n"/>
      <c r="M79" s="124" t="n"/>
      <c r="N79" s="124" t="n"/>
    </row>
  </sheetData>
  <mergeCells count="3">
    <mergeCell ref="A18:N18"/>
    <mergeCell ref="A3:N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2026-09-23T01:25:53Z</dcterms:created>
  <dcterms:modified xsi:type="dcterms:W3CDTF">2026-09-23T01:25:53Z</dcterms:modified>
</cp:coreProperties>
</file>