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0" autoFilterDateGrouping="1"/>
  </bookViews>
  <sheets>
    <sheet name="z_Config" sheetId="1" state="hidden" r:id="rId1"/>
    <sheet name="z_Trang" sheetId="2" state="hidden" r:id="rId2"/>
    <sheet name="z_TinhNang" sheetId="3" state="hidden" r:id="rId3"/>
    <sheet name="z_Loi" sheetId="4" state="hidden" r:id="rId4"/>
    <sheet name="z_CV" sheetId="5" state="hidden" r:id="rId5"/>
    <sheet name="z_DB_DN" sheetId="6" state="hidden" r:id="rId6"/>
    <sheet name="z_DB_HR" sheetId="7" state="hidden" r:id="rId7"/>
    <sheet name="z_DB_UV" sheetId="8" state="hidden" r:id="rId8"/>
    <sheet name="z_DB_Tin" sheetId="9" state="hidden" r:id="rId9"/>
    <sheet name="00_Hướng_dẫn" sheetId="10" state="visible" r:id="rId10"/>
    <sheet name="01_Báo_cáo_Tháng" sheetId="11" state="visible" r:id="rId11"/>
    <sheet name="02_Báo_cáo_Tuần" sheetId="12" state="visible" r:id="rId12"/>
    <sheet name="03_Nghiệm_thu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29">
    <font>
      <name val="Calibri"/>
      <family val="2"/>
      <color theme="1"/>
      <sz val="11"/>
      <scheme val="minor"/>
    </font>
    <font>
      <name val="Arial"/>
      <b val="1"/>
      <color rgb="001A1A1A"/>
      <sz val="11"/>
    </font>
    <font>
      <name val="Arial"/>
      <b val="1"/>
      <color rgb="00FFFFFF"/>
      <sz val="15"/>
    </font>
    <font>
      <name val="Arial"/>
      <i val="1"/>
      <color rgb="006B7280"/>
      <sz val="10.5"/>
    </font>
    <font>
      <name val="Arial"/>
      <b val="1"/>
      <color rgb="00FFFFFF"/>
      <sz val="11"/>
    </font>
    <font>
      <name val="Arial"/>
      <color rgb="001A1A1A"/>
      <sz val="10.5"/>
    </font>
    <font>
      <name val="Arial"/>
      <b val="1"/>
      <color rgb="00FFFFFF"/>
      <sz val="11.5"/>
    </font>
    <font>
      <name val="Arial"/>
      <b val="1"/>
      <color rgb="002E5A88"/>
      <sz val="11"/>
    </font>
    <font>
      <name val="Arial"/>
      <b val="1"/>
      <color rgb="00C62828"/>
      <sz val="11"/>
    </font>
    <font>
      <name val="Arial"/>
      <i val="1"/>
      <color rgb="006B7280"/>
      <sz val="9.5"/>
    </font>
    <font>
      <name val="Arial"/>
      <b val="1"/>
      <color rgb="002E7D32"/>
      <sz val="10.5"/>
    </font>
    <font>
      <name val="Arial"/>
      <color rgb="001155CC"/>
      <sz val="10"/>
    </font>
    <font>
      <name val="Arial"/>
      <i val="1"/>
      <color rgb="006B7280"/>
      <sz val="10"/>
    </font>
    <font>
      <name val="Arial"/>
      <b val="1"/>
      <color rgb="001F3A5F"/>
      <sz val="12"/>
    </font>
    <font>
      <name val="Arial"/>
      <b val="1"/>
      <color rgb="00FFFFFF"/>
      <sz val="10.5"/>
    </font>
    <font>
      <name val="Arial"/>
      <b val="1"/>
      <color rgb="001F3A5F"/>
      <sz val="11"/>
    </font>
    <font>
      <name val="Arial"/>
      <b val="1"/>
      <color rgb="001A1A1A"/>
      <sz val="10.5"/>
    </font>
    <font>
      <name val="Arial"/>
      <color rgb="006B7280"/>
      <sz val="9.5"/>
    </font>
    <font>
      <name val="Arial"/>
      <b val="1"/>
      <color rgb="002E7D32"/>
      <sz val="12"/>
    </font>
    <font>
      <name val="Arial"/>
      <color rgb="002E7D32"/>
      <sz val="10.5"/>
    </font>
    <font>
      <name val="Arial"/>
      <b val="1"/>
      <color rgb="002E7D32"/>
      <sz val="11"/>
    </font>
    <font>
      <name val="Arial"/>
      <b val="1"/>
      <color rgb="00C62828"/>
      <sz val="10.5"/>
    </font>
    <font>
      <name val="Arial"/>
      <b val="1"/>
      <color rgb="00C62828"/>
      <sz val="12"/>
    </font>
    <font>
      <name val="Arial"/>
      <color rgb="00C62828"/>
      <sz val="10.5"/>
    </font>
    <font>
      <name val="Arial"/>
      <b val="1"/>
      <color rgb="00B8860B"/>
      <sz val="10.5"/>
    </font>
    <font>
      <name val="Arial"/>
      <b val="1"/>
      <color rgb="006B7280"/>
      <sz val="10.5"/>
    </font>
    <font>
      <name val="Arial"/>
      <color rgb="001A1A1A"/>
      <sz val="10"/>
    </font>
    <font>
      <name val="Arial"/>
      <b val="1"/>
      <color rgb="00B8860B"/>
      <sz val="11"/>
    </font>
    <font>
      <name val="Arial"/>
      <b val="1"/>
      <color rgb="00FFFFFF"/>
      <sz val="10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FF"/>
      </patternFill>
    </fill>
    <fill>
      <patternFill patternType="solid">
        <fgColor rgb="002E5A88"/>
      </patternFill>
    </fill>
    <fill>
      <patternFill patternType="solid">
        <fgColor rgb="00DCE6F1"/>
      </patternFill>
    </fill>
    <fill>
      <patternFill patternType="solid">
        <fgColor rgb="00F5F7FA"/>
      </patternFill>
    </fill>
    <fill>
      <patternFill patternType="solid">
        <fgColor rgb="00FFF3CD"/>
      </patternFill>
    </fill>
    <fill>
      <patternFill patternType="solid">
        <fgColor rgb="00FFF9DB"/>
      </patternFill>
    </fill>
    <fill>
      <patternFill patternType="solid">
        <fgColor rgb="00D9F0DD"/>
      </patternFill>
    </fill>
    <fill>
      <patternFill patternType="solid">
        <fgColor rgb="00FBE3E3"/>
      </patternFill>
    </fill>
  </fills>
  <borders count="2">
    <border>
      <left/>
      <right/>
      <top/>
      <bottom/>
      <diagonal/>
    </border>
    <border>
      <left style="thin">
        <color rgb="00C9D6E5"/>
      </left>
      <right style="thin">
        <color rgb="00C9D6E5"/>
      </right>
      <top style="thin">
        <color rgb="00C9D6E5"/>
      </top>
      <bottom style="thin">
        <color rgb="00C9D6E5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1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8" fillId="7" borderId="1" applyAlignment="1" pivotButton="0" quotePrefix="0" xfId="0">
      <alignment horizontal="left" vertical="center"/>
    </xf>
    <xf numFmtId="0" fontId="1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9" fillId="3" borderId="0" applyAlignment="1" pivotButton="0" quotePrefix="0" xfId="0">
      <alignment horizontal="left" vertical="center" wrapText="1"/>
    </xf>
    <xf numFmtId="0" fontId="1" fillId="5" borderId="1" pivotButton="0" quotePrefix="0" xfId="0"/>
    <xf numFmtId="0" fontId="10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164" fontId="1" fillId="8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left" vertical="center"/>
    </xf>
    <xf numFmtId="0" fontId="0" fillId="5" borderId="1" pivotButton="0" quotePrefix="0" xfId="0"/>
    <xf numFmtId="0" fontId="5" fillId="3" borderId="1" applyAlignment="1" pivotButton="0" quotePrefix="0" xfId="0">
      <alignment horizontal="left" vertical="center" wrapText="1"/>
    </xf>
    <xf numFmtId="3" fontId="16" fillId="8" borderId="1" applyAlignment="1" pivotButton="0" quotePrefix="0" xfId="0">
      <alignment horizontal="center" vertical="center"/>
    </xf>
    <xf numFmtId="3" fontId="1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3" fontId="1" fillId="6" borderId="1" applyAlignment="1" pivotButton="0" quotePrefix="0" xfId="0">
      <alignment horizontal="center" vertical="center"/>
    </xf>
    <xf numFmtId="165" fontId="5" fillId="6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/>
    </xf>
    <xf numFmtId="3" fontId="18" fillId="9" borderId="1" applyAlignment="1" pivotButton="0" quotePrefix="0" xfId="0">
      <alignment horizontal="center" vertical="center"/>
    </xf>
    <xf numFmtId="3" fontId="19" fillId="9" borderId="1" applyAlignment="1" pivotButton="0" quotePrefix="0" xfId="0">
      <alignment horizontal="center" vertical="center"/>
    </xf>
    <xf numFmtId="165" fontId="20" fillId="9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/>
    </xf>
    <xf numFmtId="165" fontId="16" fillId="6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/>
    </xf>
    <xf numFmtId="165" fontId="16" fillId="3" borderId="1" applyAlignment="1" pivotButton="0" quotePrefix="0" xfId="0">
      <alignment horizontal="center" vertical="center"/>
    </xf>
    <xf numFmtId="0" fontId="21" fillId="10" borderId="1" applyAlignment="1" pivotButton="0" quotePrefix="0" xfId="0">
      <alignment horizontal="left" vertical="center"/>
    </xf>
    <xf numFmtId="3" fontId="22" fillId="1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0" fillId="4" borderId="1" pivotButton="0" quotePrefix="0" xfId="0"/>
    <xf numFmtId="0" fontId="21" fillId="3" borderId="1" applyAlignment="1" pivotButton="0" quotePrefix="0" xfId="0">
      <alignment horizontal="left" vertical="center"/>
    </xf>
    <xf numFmtId="0" fontId="17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24" fillId="6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10" fillId="3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25" fillId="3" borderId="1" applyAlignment="1" pivotButton="0" quotePrefix="0" xfId="0">
      <alignment horizontal="left" vertical="center"/>
    </xf>
    <xf numFmtId="0" fontId="25" fillId="6" borderId="1" applyAlignment="1" pivotButton="0" quotePrefix="0" xfId="0">
      <alignment horizontal="left" vertical="center"/>
    </xf>
    <xf numFmtId="0" fontId="21" fillId="6" borderId="1" applyAlignment="1" pivotButton="0" quotePrefix="0" xfId="0">
      <alignment horizontal="left" vertical="center"/>
    </xf>
    <xf numFmtId="0" fontId="24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16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0" fontId="16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left" vertical="center"/>
    </xf>
    <xf numFmtId="0" fontId="26" fillId="3" borderId="1" applyAlignment="1" pivotButton="0" quotePrefix="0" xfId="0">
      <alignment horizontal="left" vertical="center"/>
    </xf>
    <xf numFmtId="0" fontId="16" fillId="5" borderId="1" applyAlignment="1" pivotButton="0" quotePrefix="0" xfId="0">
      <alignment horizontal="center" vertical="center"/>
    </xf>
    <xf numFmtId="164" fontId="16" fillId="3" borderId="1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0" fillId="2" borderId="1" pivotButton="0" quotePrefix="0" xfId="0"/>
    <xf numFmtId="3" fontId="8" fillId="6" borderId="1" applyAlignment="1" pivotButton="0" quotePrefix="0" xfId="0">
      <alignment horizontal="center" vertical="center"/>
    </xf>
    <xf numFmtId="3" fontId="8" fillId="3" borderId="1" applyAlignment="1" pivotButton="0" quotePrefix="0" xfId="0">
      <alignment horizontal="center" vertical="center"/>
    </xf>
    <xf numFmtId="3" fontId="27" fillId="6" borderId="1" applyAlignment="1" pivotButton="0" quotePrefix="0" xfId="0">
      <alignment horizontal="center" vertical="center"/>
    </xf>
    <xf numFmtId="3" fontId="20" fillId="3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164" fontId="16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5" fillId="8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left" vertical="center" wrapText="1"/>
    </xf>
    <xf numFmtId="3" fontId="16" fillId="3" borderId="1" applyAlignment="1" pivotButton="0" quotePrefix="0" xfId="0">
      <alignment horizontal="center" vertical="center"/>
    </xf>
    <xf numFmtId="3" fontId="21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26" fillId="6" borderId="1" applyAlignment="1" pivotButton="0" quotePrefix="0" xfId="0">
      <alignment horizontal="left" vertical="center" wrapText="1"/>
    </xf>
    <xf numFmtId="3" fontId="16" fillId="6" borderId="1" applyAlignment="1" pivotButton="0" quotePrefix="0" xfId="0">
      <alignment horizontal="center" vertical="center"/>
    </xf>
    <xf numFmtId="3" fontId="2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26" fillId="6" borderId="1" applyAlignment="1" pivotButton="0" quotePrefix="0" xfId="0">
      <alignment horizontal="left" vertical="center"/>
    </xf>
    <xf numFmtId="0" fontId="21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17" fillId="6" borderId="0" applyAlignment="1" pivotButton="0" quotePrefix="0" xfId="0">
      <alignment horizontal="left" vertical="center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URL file làm việc</t>
        </is>
      </c>
      <c r="B1" t="inlineStr">
        <is>
          <t>https://docs.google.com/spreadsheets/d/1J2A_OiWz7IeYsgafLDY3mIfZsG-xCNGhkNaSQkhicHg/edit</t>
        </is>
      </c>
    </row>
    <row r="2">
      <c r="A2" s="1" t="inlineStr">
        <is>
          <t>Năm báo cáo</t>
        </is>
      </c>
      <c r="B2" t="n">
        <v>2026</v>
      </c>
    </row>
    <row r="3">
      <c r="A3" s="1" t="inlineStr">
        <is>
          <t>URL file Database</t>
        </is>
      </c>
      <c r="B3" t="inlineStr">
        <is>
          <t>https://docs.google.com/spreadsheets/d/1i7-xLYiLHg60EqmCpfeA9B4Y0T-8YsgXk-_0qJ4eACo/edit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IMPORTRANGE('z_Config'!$B$1,"02_UI_UX!A3:N3")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IMPORTRANGE('z_Config'!$B$1,"03_Tính_năng!A3:N3")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IMPORTRANGE('z_Config'!$B$1,"05_Lỗi_Tester!A4:V606")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IMPORTRANGE('z_Config'!$B$1,"01_Cong_viec_ngay!A4:P1004")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IMPORTRANGE('z_Config'!$B$3,"'HS DN'!D4:N970")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IMPORTRANGE('z_Config'!$B$3,"'HS HR'!D4:E966")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IMPORTRANGE('z_Config'!$B$3,"'HS ỨNG TUYỂN'!D5:D990")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IMPORTRANGE('z_Config'!$B$3,"'Tin tuyển dụng'!C4:D1006")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A5F"/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8" customWidth="1" min="3" max="3"/>
    <col width="20" customWidth="1" min="4" max="4"/>
    <col width="20" customWidth="1" min="5" max="5"/>
    <col width="16" customWidth="1" min="6" max="6"/>
  </cols>
  <sheetData>
    <row r="1" ht="30" customHeight="1">
      <c r="A1" s="2" t="inlineStr">
        <is>
          <t>BÁO CÁO TIẾN ĐỘ WEBSITE TIMVIEC123 — DÀNH CHO BAN GIÁM ĐỐC</t>
        </is>
      </c>
      <c r="B1" s="3" t="n"/>
      <c r="C1" s="3" t="n"/>
      <c r="D1" s="3" t="n"/>
      <c r="E1" s="3" t="n"/>
      <c r="F1" s="3" t="n"/>
    </row>
    <row r="2" ht="20" customHeight="1">
      <c r="A2" s="4" t="inlineStr">
        <is>
          <t>Số liệu đồng bộ live từ file làm việc QA và file Database. BGD chỉ xem, chọn kỳ ở sheet Tháng/Tuần.</t>
        </is>
      </c>
      <c r="B2" s="5" t="n"/>
      <c r="C2" s="5" t="n"/>
      <c r="D2" s="5" t="n"/>
      <c r="E2" s="5" t="n"/>
      <c r="F2" s="5" t="n"/>
    </row>
    <row r="4">
      <c r="A4" s="6" t="inlineStr">
        <is>
          <t>NGƯỜI DÙNG</t>
        </is>
      </c>
      <c r="B4" s="7" t="n"/>
      <c r="C4" s="6" t="inlineStr">
        <is>
          <t>CÁCH SỬ DỤNG</t>
        </is>
      </c>
      <c r="D4" s="7" t="n"/>
      <c r="E4" s="7" t="n"/>
      <c r="F4" s="7" t="n"/>
    </row>
    <row r="5" ht="30" customHeight="1">
      <c r="A5" s="8" t="inlineStr">
        <is>
          <t>Ban Giám đốc</t>
        </is>
      </c>
      <c r="B5" s="9" t="n"/>
      <c r="C5" s="10" t="inlineStr">
        <is>
          <t>Xem tiến độ trang/tính năng, tình trạng lỗi, database và nghiệm thu. Chọn Tháng/Tuần để lọc kỳ.</t>
        </is>
      </c>
    </row>
    <row r="6" ht="30" customHeight="1">
      <c r="A6" s="8" t="inlineStr">
        <is>
          <t>Tester</t>
        </is>
      </c>
      <c r="B6" s="9" t="n"/>
      <c r="C6" s="10" t="inlineStr">
        <is>
          <t>Cập nhật dữ liệu tại file làm việc; báo cáo tự đồng bộ.</t>
        </is>
      </c>
    </row>
    <row r="7" ht="30" customHeight="1">
      <c r="A7" s="8" t="inlineStr">
        <is>
          <t>Dev</t>
        </is>
      </c>
      <c r="B7" s="9" t="n"/>
      <c r="C7" s="10" t="inlineStr">
        <is>
          <t>Cập nhật xử lý lỗi tại 06_RTM_Dev_Test của file làm việc.</t>
        </is>
      </c>
    </row>
    <row r="9" ht="22" customHeight="1">
      <c r="A9" s="11" t="inlineStr">
        <is>
          <t>NGUYÊN TẮC TÍNH SỐ</t>
        </is>
      </c>
      <c r="B9" s="7" t="n"/>
      <c r="C9" s="7" t="n"/>
      <c r="D9" s="7" t="n"/>
      <c r="E9" s="7" t="n"/>
      <c r="F9" s="7" t="n"/>
    </row>
    <row r="10" ht="26" customHeight="1">
      <c r="A10" s="12" t="n">
        <v>1</v>
      </c>
      <c r="B10" s="13" t="inlineStr">
        <is>
          <t>Tiến độ trang = số trang Hoàn thành / tổng số trang (hiện 63).</t>
        </is>
      </c>
      <c r="C10" s="14" t="n"/>
      <c r="D10" s="14" t="n"/>
      <c r="E10" s="14" t="n"/>
      <c r="F10" s="14" t="n"/>
    </row>
    <row r="11" ht="26" customHeight="1">
      <c r="A11" s="12" t="n">
        <v>2</v>
      </c>
      <c r="B11" s="13" t="inlineStr">
        <is>
          <t>Tiến độ tính năng = số tính năng Hoàn thành / 88 tính năng (gồm YC_88 chờ flow).</t>
        </is>
      </c>
      <c r="C11" s="14" t="n"/>
      <c r="D11" s="14" t="n"/>
      <c r="E11" s="14" t="n"/>
      <c r="F11" s="14" t="n"/>
    </row>
    <row r="12" ht="26" customHeight="1">
      <c r="A12" s="12" t="n">
        <v>3</v>
      </c>
      <c r="B12" s="13" t="inlineStr">
        <is>
          <t>Số lỗi lấy toàn bộ từ sheet 05_Lỗi_Tester. "Đang mở" = trạng thái Open + Chưa gửi Dev (chưa xử lý xong).</t>
        </is>
      </c>
      <c r="C12" s="14" t="n"/>
      <c r="D12" s="14" t="n"/>
      <c r="E12" s="14" t="n"/>
      <c r="F12" s="14" t="n"/>
    </row>
    <row r="13" ht="26" customHeight="1">
      <c r="A13" s="12" t="n">
        <v>4</v>
      </c>
      <c r="B13" s="13" t="inlineStr">
        <is>
          <t>"Đã xử lý" = Fixed + Verified + Closed. Riêng Deferred (tạm hoãn) tính riêng.</t>
        </is>
      </c>
      <c r="C13" s="14" t="n"/>
      <c r="D13" s="14" t="n"/>
      <c r="E13" s="14" t="n"/>
      <c r="F13" s="14" t="n"/>
    </row>
    <row r="14" ht="26" customHeight="1">
      <c r="A14" s="12" t="n">
        <v>5</v>
      </c>
      <c r="B14" s="13" t="inlineStr">
        <is>
          <t>Số liệu Database (DN/HR/Ứng viên/Tin TD) lấy từ file Hồ sơ, đếm theo cột ngày.</t>
        </is>
      </c>
      <c r="C14" s="14" t="n"/>
      <c r="D14" s="14" t="n"/>
      <c r="E14" s="14" t="n"/>
      <c r="F14" s="14" t="n"/>
    </row>
    <row r="15" ht="26" customHeight="1">
      <c r="A15" s="12" t="n">
        <v>6</v>
      </c>
      <c r="B15" s="13" t="inlineStr">
        <is>
          <t>Chỉ số "trong tháng" lọc theo Ngày phát hiện lỗi và Ngày đăng/tạo của kỳ đã chọn.</t>
        </is>
      </c>
      <c r="C15" s="14" t="n"/>
      <c r="D15" s="14" t="n"/>
      <c r="E15" s="14" t="n"/>
      <c r="F15" s="14" t="n"/>
    </row>
    <row r="17" ht="22" customHeight="1">
      <c r="A17" s="11" t="inlineStr">
        <is>
          <t>KÍCH HOẠT KẾT NỐI (làm 1 lần)</t>
        </is>
      </c>
      <c r="B17" s="7" t="n"/>
      <c r="C17" s="7" t="n"/>
      <c r="D17" s="7" t="n"/>
      <c r="E17" s="7" t="n"/>
      <c r="F17" s="7" t="n"/>
    </row>
    <row r="18">
      <c r="A18" s="15" t="inlineStr">
        <is>
          <t>① File làm việc QA</t>
        </is>
      </c>
      <c r="B18" s="16">
        <f>IMPORTRANGE('z_Config'!$B$1,"05_Lỗi_Tester!E4")</f>
        <v/>
      </c>
      <c r="C18" s="17" t="n"/>
      <c r="D18" s="17" t="n"/>
      <c r="E18" s="17" t="n"/>
      <c r="F18" s="17" t="n"/>
    </row>
    <row r="19">
      <c r="A19" s="15" t="inlineStr">
        <is>
          <t>② File Database</t>
        </is>
      </c>
      <c r="B19" s="16">
        <f>IMPORTRANGE('z_Config'!$B$3,"'HS DN'!D3")</f>
        <v/>
      </c>
      <c r="C19" s="17" t="n"/>
      <c r="D19" s="17" t="n"/>
      <c r="E19" s="17" t="n"/>
      <c r="F19" s="17" t="n"/>
    </row>
    <row r="20" ht="28" customHeight="1">
      <c r="A20" s="18" t="inlineStr">
        <is>
          <t>→ Nếu ô ① hoặc ② báo #REF!: bấm vào ô đó → "Cho phép truy cập / Allow access". Làm 1 lần cho mỗi ô.</t>
        </is>
      </c>
      <c r="B20" s="5" t="n"/>
      <c r="C20" s="5" t="n"/>
      <c r="D20" s="5" t="n"/>
      <c r="E20" s="5" t="n"/>
      <c r="F20" s="5" t="n"/>
    </row>
    <row r="21">
      <c r="A21" s="19" t="inlineStr">
        <is>
          <t>Trạng thái kết nối</t>
        </is>
      </c>
      <c r="B21" s="20">
        <f>IF(ISERROR('z_Trang'!$B$1),"⚠ Chưa kết nối file làm việc","✔ Đã kết nối")&amp;"   |   "&amp;IF(ISERROR('z_DB_DN'!$A:$A),"⚠ Chưa kết nối Database","✔ Database OK")</f>
        <v/>
      </c>
      <c r="C21" s="14" t="n"/>
      <c r="D21" s="14" t="n"/>
      <c r="E21" s="14" t="n"/>
      <c r="F21" s="14" t="n"/>
    </row>
    <row r="23" ht="22" customHeight="1">
      <c r="A23" s="11" t="inlineStr">
        <is>
          <t>LIÊN KẾT</t>
        </is>
      </c>
      <c r="B23" s="7" t="n"/>
      <c r="C23" s="7" t="n"/>
      <c r="D23" s="7" t="n"/>
      <c r="E23" s="7" t="n"/>
      <c r="F23" s="7" t="n"/>
    </row>
    <row r="24">
      <c r="A24" s="19" t="inlineStr">
        <is>
          <t>File làm việc (QA)</t>
        </is>
      </c>
      <c r="B24" s="21" t="inlineStr">
        <is>
          <t>https://docs.google.com/spreadsheets/d/1J2A_OiWz7IeYsgafLDY3mIfZsG-xCNGhkNaSQkhicHg/edit</t>
        </is>
      </c>
      <c r="C24" s="14" t="n"/>
      <c r="D24" s="14" t="n"/>
      <c r="E24" s="14" t="n"/>
      <c r="F24" s="14" t="n"/>
    </row>
    <row r="25">
      <c r="A25" s="19" t="inlineStr">
        <is>
          <t>File Database (Hồ sơ)</t>
        </is>
      </c>
      <c r="B25" s="21" t="inlineStr">
        <is>
          <t>https://docs.google.com/spreadsheets/d/1i7-xLYiLHg60EqmCpfeA9B4Y0T-8YsgXk-_0qJ4eACo/edit</t>
        </is>
      </c>
      <c r="C25" s="14" t="n"/>
      <c r="D25" s="14" t="n"/>
      <c r="E25" s="14" t="n"/>
      <c r="F25" s="14" t="n"/>
    </row>
  </sheetData>
  <mergeCells count="25">
    <mergeCell ref="B25:F25"/>
    <mergeCell ref="C7:F7"/>
    <mergeCell ref="B18:F18"/>
    <mergeCell ref="A6:B6"/>
    <mergeCell ref="B21:F21"/>
    <mergeCell ref="A2:F2"/>
    <mergeCell ref="B12:F12"/>
    <mergeCell ref="A7:B7"/>
    <mergeCell ref="B11:F11"/>
    <mergeCell ref="A23:F23"/>
    <mergeCell ref="C6:F6"/>
    <mergeCell ref="A17:F17"/>
    <mergeCell ref="B14:F14"/>
    <mergeCell ref="A20:F20"/>
    <mergeCell ref="C5:F5"/>
    <mergeCell ref="B13:F13"/>
    <mergeCell ref="C4:F4"/>
    <mergeCell ref="B10:F10"/>
    <mergeCell ref="A9:F9"/>
    <mergeCell ref="A5:B5"/>
    <mergeCell ref="B19:F19"/>
    <mergeCell ref="A4:B4"/>
    <mergeCell ref="B24:F24"/>
    <mergeCell ref="B15:F15"/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5A88"/>
    <outlinePr summaryBelow="1" summaryRight="1"/>
    <pageSetUpPr/>
  </sheetPr>
  <dimension ref="A1:O7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  <col width="12" customWidth="1" min="5" max="5"/>
    <col width="30" customWidth="1" min="6" max="6"/>
    <col width="3" customWidth="1" min="7" max="7"/>
    <col width="18" customWidth="1" min="8" max="8"/>
    <col width="10" customWidth="1" min="9" max="9"/>
    <col hidden="1" width="13" customWidth="1" min="14" max="14"/>
    <col hidden="1" width="13" customWidth="1" min="15" max="15"/>
  </cols>
  <sheetData>
    <row r="1" ht="30" customHeight="1">
      <c r="A1" s="2" t="inlineStr">
        <is>
          <t>BÁO CÁO TIẾN ĐỘ THEO THÁNG</t>
        </is>
      </c>
      <c r="B1" s="3" t="n"/>
      <c r="C1" s="3" t="n"/>
      <c r="D1" s="3" t="n"/>
      <c r="E1" s="3" t="n"/>
      <c r="F1" s="3" t="n"/>
    </row>
    <row r="2">
      <c r="A2" s="22" t="inlineStr">
        <is>
          <t>Chọn tháng ở ô B4. Ô nền vàng là chỉ tiêu nhập tay. Số tổng quan là thời điểm hiện tại; chỉ số "trong tháng" lọc theo tháng đã chọn.</t>
        </is>
      </c>
      <c r="B2" s="5" t="n"/>
      <c r="C2" s="5" t="n"/>
      <c r="D2" s="5" t="n"/>
      <c r="E2" s="5" t="n"/>
      <c r="F2" s="5" t="n"/>
    </row>
    <row r="4">
      <c r="A4" s="23" t="inlineStr">
        <is>
          <t>Tháng báo cáo</t>
        </is>
      </c>
      <c r="B4" s="24" t="n">
        <v>8</v>
      </c>
      <c r="C4" s="23" t="inlineStr">
        <is>
          <t>Năm</t>
        </is>
      </c>
      <c r="D4" s="24" t="n">
        <v>2026</v>
      </c>
      <c r="E4" s="23" t="inlineStr">
        <is>
          <t>Ngày chốt</t>
        </is>
      </c>
      <c r="F4" s="25">
        <f>TODAY()</f>
        <v/>
      </c>
      <c r="N4">
        <f>DATE(D4,B4,1)</f>
        <v/>
      </c>
      <c r="O4">
        <f>EOMONTH(N4,0)</f>
        <v/>
      </c>
    </row>
    <row r="6" ht="22" customHeight="1">
      <c r="A6" s="26" t="inlineStr">
        <is>
          <t>KPI / CHỈ SỐ</t>
        </is>
      </c>
      <c r="B6" s="27" t="inlineStr">
        <is>
          <t>Mục tiêu tháng</t>
        </is>
      </c>
      <c r="C6" s="27" t="inlineStr">
        <is>
          <t>Kết quả</t>
        </is>
      </c>
      <c r="D6" s="27" t="inlineStr">
        <is>
          <t>Tỷ lệ</t>
        </is>
      </c>
      <c r="E6" s="27" t="inlineStr">
        <is>
          <t>Đạt KPI?</t>
        </is>
      </c>
      <c r="F6" s="27" t="inlineStr">
        <is>
          <t>Ghi chú</t>
        </is>
      </c>
    </row>
    <row r="7" ht="19" customHeight="1">
      <c r="A7" s="28" t="inlineStr">
        <is>
          <t>I. KIỂM TRA WEBSITE</t>
        </is>
      </c>
      <c r="B7" s="29" t="n"/>
      <c r="C7" s="29" t="n"/>
      <c r="D7" s="29" t="n"/>
      <c r="E7" s="29" t="n"/>
      <c r="F7" s="29" t="n"/>
    </row>
    <row r="8">
      <c r="A8" s="30" t="inlineStr">
        <is>
          <t>1. Trang hoàn thành</t>
        </is>
      </c>
      <c r="B8" s="31" t="n">
        <v>63</v>
      </c>
      <c r="C8" s="32">
        <f>'z_Trang'!$D$1</f>
        <v/>
      </c>
      <c r="D8" s="33">
        <f>'z_Trang'!$F$1</f>
        <v/>
      </c>
      <c r="E8" s="34">
        <f>IF(ISNUMBER(B8),IF(C8&gt;=B8,"Đạt","Chưa đạt"),"Theo dõi")</f>
        <v/>
      </c>
      <c r="F8" s="35" t="inlineStr">
        <is>
          <t>Trên tổng số trang website</t>
        </is>
      </c>
    </row>
    <row r="9">
      <c r="A9" s="36" t="inlineStr">
        <is>
          <t>2. Tính năng hoàn thành</t>
        </is>
      </c>
      <c r="B9" s="31" t="n">
        <v>88</v>
      </c>
      <c r="C9" s="37">
        <f>'z_TinhNang'!$D$1</f>
        <v/>
      </c>
      <c r="D9" s="38">
        <f>'z_TinhNang'!$F$1</f>
        <v/>
      </c>
      <c r="E9" s="39">
        <f>IF(ISNUMBER(B9),IF(C9&gt;=B9,"Đạt","Chưa đạt"),"Theo dõi")</f>
        <v/>
      </c>
      <c r="F9" s="40" t="inlineStr">
        <is>
          <t>Trên tổng 88 tính năng</t>
        </is>
      </c>
    </row>
    <row r="10">
      <c r="A10" s="30" t="inlineStr">
        <is>
          <t>3. Công việc hoàn thành trong tháng</t>
        </is>
      </c>
      <c r="B10" s="34" t="inlineStr">
        <is>
          <t>—</t>
        </is>
      </c>
      <c r="C10" s="32">
        <f>COUNTIFS('z_CV'!$B:$B,"&gt;="&amp;'01_Báo_cáo_Tháng'!$N$4,'z_CV'!$B:$B,"&lt;="&amp;'01_Báo_cáo_Tháng'!$O$4,'z_CV'!$O:$O,"Hoàn thành")</f>
        <v/>
      </c>
      <c r="D10" s="41" t="n"/>
      <c r="E10" s="34">
        <f>IF(ISNUMBER(B10),IF(C10&gt;=B10,"Đạt","Chưa đạt"),"Theo dõi")</f>
        <v/>
      </c>
      <c r="F10" s="35" t="inlineStr">
        <is>
          <t>Nhật ký công việc theo ngày</t>
        </is>
      </c>
    </row>
    <row r="11">
      <c r="A11" s="36" t="inlineStr">
        <is>
          <t>4. Lỗi phát hiện trong tháng</t>
        </is>
      </c>
      <c r="B11" s="39" t="inlineStr">
        <is>
          <t>—</t>
        </is>
      </c>
      <c r="C11" s="37">
        <f>COUNTIFS('z_Loi'!$Q:$Q,"&gt;="&amp;'01_Báo_cáo_Tháng'!$N$4,'z_Loi'!$Q:$Q,"&lt;="&amp;'01_Báo_cáo_Tháng'!$O$4)</f>
        <v/>
      </c>
      <c r="D11" s="42" t="n"/>
      <c r="E11" s="39">
        <f>IF(ISNUMBER(B11),IF(C11&gt;=B11,"Đạt","Chưa đạt"),"Theo dõi")</f>
        <v/>
      </c>
      <c r="F11" s="40" t="inlineStr">
        <is>
          <t>Theo Ngày phát hiện (05_Lỗi_Tester)</t>
        </is>
      </c>
    </row>
    <row r="12" ht="19" customHeight="1">
      <c r="A12" s="28" t="inlineStr">
        <is>
          <t>II. HOÀN THIỆN WEBSITE</t>
        </is>
      </c>
      <c r="B12" s="29" t="n"/>
      <c r="C12" s="29" t="n"/>
      <c r="D12" s="29" t="n"/>
      <c r="E12" s="29" t="n"/>
      <c r="F12" s="29" t="n"/>
    </row>
    <row r="13">
      <c r="A13" s="30" t="inlineStr">
        <is>
          <t>1. Lỗi đã xử lý (lũy kế)</t>
        </is>
      </c>
      <c r="B13" s="34" t="inlineStr">
        <is>
          <t>—</t>
        </is>
      </c>
      <c r="C13" s="32">
        <f>(COUNTIF('z_Loi'!$U:$U,"Fixed")+COUNTIF('z_Loi'!$U:$U,"Verified")+COUNTIF('z_Loi'!$U:$U,"Closed"))</f>
        <v/>
      </c>
      <c r="D13" s="41" t="n"/>
      <c r="E13" s="34">
        <f>IF(ISNUMBER(B13),IF(C13&gt;=B13,"Đạt","Chưa đạt"),"Theo dõi")</f>
        <v/>
      </c>
      <c r="F13" s="35" t="inlineStr">
        <is>
          <t>Fixed + Verified + Closed</t>
        </is>
      </c>
    </row>
    <row r="14">
      <c r="A14" s="36" t="inlineStr">
        <is>
          <t>2. Số Trang đã xử lý</t>
        </is>
      </c>
      <c r="B14" s="39" t="inlineStr">
        <is>
          <t>—</t>
        </is>
      </c>
      <c r="C14" s="37">
        <f>'z_Trang'!$B$1-'z_Trang'!$L$1</f>
        <v/>
      </c>
      <c r="D14" s="42" t="n"/>
      <c r="E14" s="39">
        <f>IF(ISNUMBER(B14),IF(C14&gt;=B14,"Đạt","Chưa đạt"),"Theo dõi")</f>
        <v/>
      </c>
      <c r="F14" s="40" t="inlineStr">
        <is>
          <t>Đã kiểm thử = Tổng − Chưa kiểm tra</t>
        </is>
      </c>
    </row>
    <row r="15">
      <c r="A15" s="30" t="inlineStr">
        <is>
          <t>3. Số Tính năng đã xử lý</t>
        </is>
      </c>
      <c r="B15" s="34" t="inlineStr">
        <is>
          <t>—</t>
        </is>
      </c>
      <c r="C15" s="32">
        <f>'z_TinhNang'!$B$1-'z_TinhNang'!$L$1</f>
        <v/>
      </c>
      <c r="D15" s="41" t="n"/>
      <c r="E15" s="34">
        <f>IF(ISNUMBER(B15),IF(C15&gt;=B15,"Đạt","Chưa đạt"),"Theo dõi")</f>
        <v/>
      </c>
      <c r="F15" s="35" t="inlineStr">
        <is>
          <t>Đã kiểm thử = Tổng − Chưa kiểm tra</t>
        </is>
      </c>
    </row>
    <row r="16" ht="19" customHeight="1">
      <c r="A16" s="28" t="inlineStr">
        <is>
          <t>III. DATABASE (trong tháng)</t>
        </is>
      </c>
      <c r="B16" s="29" t="n"/>
      <c r="C16" s="29" t="n"/>
      <c r="D16" s="29" t="n"/>
      <c r="E16" s="29" t="n"/>
      <c r="F16" s="29" t="n"/>
    </row>
    <row r="17">
      <c r="A17" s="30" t="inlineStr">
        <is>
          <t>1. DB Doanh nghiệp đã thêm</t>
        </is>
      </c>
      <c r="B17" s="31" t="n">
        <v>100</v>
      </c>
      <c r="C17" s="32">
        <f>COUNTIFS('z_DB_DN'!$K:$K,"&gt;="&amp;'01_Báo_cáo_Tháng'!$N$4,'z_DB_DN'!$K:$K,"&lt;="&amp;'01_Báo_cáo_Tháng'!$O$4)</f>
        <v/>
      </c>
      <c r="D17" s="41" t="n"/>
      <c r="E17" s="34">
        <f>IF(ISNUMBER(B17),IF(C17&gt;=B17,"Đạt","Chưa đạt"),"Theo dõi")</f>
        <v/>
      </c>
      <c r="F17" s="35" t="inlineStr">
        <is>
          <t>Theo Ngày Đăng/Tạo</t>
        </is>
      </c>
    </row>
    <row r="18">
      <c r="A18" s="36" t="inlineStr">
        <is>
          <t>2. DB HR đã thêm</t>
        </is>
      </c>
      <c r="B18" s="31" t="n">
        <v>100</v>
      </c>
      <c r="C18" s="37">
        <f>COUNTIFS('z_DB_HR'!$B:$B,"&gt;="&amp;'01_Báo_cáo_Tháng'!$N$4,'z_DB_HR'!$B:$B,"&lt;="&amp;'01_Báo_cáo_Tháng'!$O$4)</f>
        <v/>
      </c>
      <c r="D18" s="42" t="n"/>
      <c r="E18" s="39">
        <f>IF(ISNUMBER(B18),IF(C18&gt;=B18,"Đạt","Chưa đạt"),"Theo dõi")</f>
        <v/>
      </c>
      <c r="F18" s="40" t="inlineStr">
        <is>
          <t>Theo Ngày Đăng/Tạo</t>
        </is>
      </c>
    </row>
    <row r="19">
      <c r="A19" s="30" t="inlineStr">
        <is>
          <t>3. DB Ứng viên đã thêm</t>
        </is>
      </c>
      <c r="B19" s="31" t="n">
        <v>100</v>
      </c>
      <c r="C19" s="32">
        <f>COUNTA('z_DB_UV'!$A:$A)</f>
        <v/>
      </c>
      <c r="D19" s="41" t="n"/>
      <c r="E19" s="34">
        <f>IF(ISNUMBER(B19),IF(C19&gt;=B19,"Đạt","Chưa đạt"),"Theo dõi")</f>
        <v/>
      </c>
      <c r="F19" s="35" t="inlineStr">
        <is>
          <t>Theo tổng (chưa có cột ngày nhập)</t>
        </is>
      </c>
    </row>
    <row r="20">
      <c r="A20" s="36" t="inlineStr">
        <is>
          <t>4. Tin tuyển dụng đã đăng</t>
        </is>
      </c>
      <c r="B20" s="31" t="n">
        <v>50</v>
      </c>
      <c r="C20" s="37">
        <f>COUNTIFS('z_DB_Tin'!$B:$B,"&gt;="&amp;'01_Báo_cáo_Tháng'!$N$4,'z_DB_Tin'!$B:$B,"&lt;="&amp;'01_Báo_cáo_Tháng'!$O$4)</f>
        <v/>
      </c>
      <c r="D20" s="42" t="n"/>
      <c r="E20" s="39">
        <f>IF(ISNUMBER(B20),IF(C20&gt;=B20,"Đạt","Chưa đạt"),"Theo dõi")</f>
        <v/>
      </c>
      <c r="F20" s="40" t="inlineStr">
        <is>
          <t>Theo Ngày viết</t>
        </is>
      </c>
    </row>
    <row r="22" ht="22" customHeight="1">
      <c r="A22" s="11" t="inlineStr">
        <is>
          <t>TỔNG QUAN HIỆN TẠI (thời điểm xem)</t>
        </is>
      </c>
      <c r="B22" s="7" t="n"/>
      <c r="C22" s="7" t="n"/>
      <c r="D22" s="7" t="n"/>
      <c r="E22" s="7" t="n"/>
      <c r="F22" s="7" t="n"/>
    </row>
    <row r="23">
      <c r="A23" s="43" t="inlineStr">
        <is>
          <t>Chỉ số</t>
        </is>
      </c>
      <c r="B23" s="44" t="inlineStr">
        <is>
          <t>Số lượng</t>
        </is>
      </c>
      <c r="C23" s="44" t="inlineStr">
        <is>
          <t>Tổng/Mục tiêu</t>
        </is>
      </c>
      <c r="D23" s="44" t="inlineStr">
        <is>
          <t>Tỷ lệ</t>
        </is>
      </c>
    </row>
    <row r="24" ht="19" customHeight="1">
      <c r="A24" s="28" t="inlineStr">
        <is>
          <t>I. KIỂM TRA WEBSITE</t>
        </is>
      </c>
      <c r="B24" s="29" t="n"/>
      <c r="C24" s="29" t="n"/>
      <c r="D24" s="29" t="n"/>
      <c r="E24" s="29" t="n"/>
      <c r="F24" s="29" t="n"/>
    </row>
    <row r="25">
      <c r="A25" s="45" t="inlineStr">
        <is>
          <t>Trang hoàn thành</t>
        </is>
      </c>
      <c r="B25" s="46">
        <f>'z_Trang'!$D$1</f>
        <v/>
      </c>
      <c r="C25" s="47">
        <f>'z_Trang'!$B$1</f>
        <v/>
      </c>
      <c r="D25" s="48">
        <f>'z_Trang'!$F$1</f>
        <v/>
      </c>
    </row>
    <row r="26">
      <c r="A26" s="49" t="inlineStr">
        <is>
          <t>Trang đang kiểm tra</t>
        </is>
      </c>
      <c r="B26" s="37">
        <f>'z_Trang'!$H$1</f>
        <v/>
      </c>
      <c r="C26" s="50">
        <f>'z_Trang'!$B$1</f>
        <v/>
      </c>
      <c r="D26" s="51">
        <f>'z_Trang'!$H$1/'z_Trang'!$B$1</f>
        <v/>
      </c>
    </row>
    <row r="27">
      <c r="A27" s="52" t="inlineStr">
        <is>
          <t>Trang cần kiểm tra lại</t>
        </is>
      </c>
      <c r="B27" s="32">
        <f>'z_Trang'!$J$1</f>
        <v/>
      </c>
      <c r="C27" s="53">
        <f>'z_Trang'!$B$1</f>
        <v/>
      </c>
      <c r="D27" s="54">
        <f>'z_Trang'!$J$1/'z_Trang'!$B$1</f>
        <v/>
      </c>
    </row>
    <row r="28">
      <c r="A28" s="49" t="inlineStr">
        <is>
          <t>Trang chưa kiểm tra</t>
        </is>
      </c>
      <c r="B28" s="37">
        <f>'z_Trang'!$L$1</f>
        <v/>
      </c>
      <c r="C28" s="50">
        <f>'z_Trang'!$B$1</f>
        <v/>
      </c>
      <c r="D28" s="51">
        <f>'z_Trang'!$L$1/'z_Trang'!$B$1</f>
        <v/>
      </c>
    </row>
    <row r="29">
      <c r="A29" s="45" t="inlineStr">
        <is>
          <t>Tính năng hoàn thành</t>
        </is>
      </c>
      <c r="B29" s="46">
        <f>'z_TinhNang'!$D$1</f>
        <v/>
      </c>
      <c r="C29" s="47">
        <f>'z_TinhNang'!$B$1</f>
        <v/>
      </c>
      <c r="D29" s="48">
        <f>'z_TinhNang'!$F$1</f>
        <v/>
      </c>
    </row>
    <row r="30">
      <c r="A30" s="49" t="inlineStr">
        <is>
          <t>Tính năng cần kiểm tra lại</t>
        </is>
      </c>
      <c r="B30" s="37">
        <f>'z_TinhNang'!$J$1</f>
        <v/>
      </c>
      <c r="C30" s="50">
        <f>'z_TinhNang'!$B$1</f>
        <v/>
      </c>
      <c r="D30" s="51">
        <f>'z_TinhNang'!$J$1/'z_TinhNang'!$B$1</f>
        <v/>
      </c>
    </row>
    <row r="31">
      <c r="A31" s="52" t="inlineStr">
        <is>
          <t>Tính năng chưa kiểm tra</t>
        </is>
      </c>
      <c r="B31" s="32">
        <f>'z_TinhNang'!$L$1</f>
        <v/>
      </c>
      <c r="C31" s="53">
        <f>'z_TinhNang'!$B$1</f>
        <v/>
      </c>
      <c r="D31" s="54">
        <f>'z_TinhNang'!$L$1/'z_TinhNang'!$B$1</f>
        <v/>
      </c>
    </row>
    <row r="32">
      <c r="A32" s="49" t="inlineStr">
        <is>
          <t>Tổng lỗi ghi nhận</t>
        </is>
      </c>
      <c r="B32" s="37">
        <f>COUNTA('z_Loi'!$E:$E)-1</f>
        <v/>
      </c>
      <c r="C32" s="42" t="n"/>
      <c r="D32" s="39" t="n"/>
    </row>
    <row r="33">
      <c r="A33" s="55" t="inlineStr">
        <is>
          <t>Lỗi đang mở (Open + Chưa gửi Dev)</t>
        </is>
      </c>
      <c r="B33" s="56">
        <f>(COUNTIF('z_Loi'!$U:$U,"Open")+COUNTIF('z_Loi'!$U:$U,"Chưa gửi Dev"))</f>
        <v/>
      </c>
      <c r="C33" s="57" t="n"/>
      <c r="D33" s="58" t="n"/>
    </row>
    <row r="34">
      <c r="A34" s="55" t="inlineStr">
        <is>
          <t>Lỗi Critical/High đang mở</t>
        </is>
      </c>
      <c r="B34" s="56">
        <f>(COUNTIFS('z_Loi'!$U:$U,"Open",'z_Loi'!$L:$L,"Critical")+COUNTIFS('z_Loi'!$U:$U,"Open",'z_Loi'!$L:$L,"High")+COUNTIFS('z_Loi'!$U:$U,"Chưa gửi Dev",'z_Loi'!$L:$L,"Critical")+COUNTIFS('z_Loi'!$U:$U,"Chưa gửi Dev",'z_Loi'!$L:$L,"High"))</f>
        <v/>
      </c>
      <c r="C34" s="57" t="n"/>
      <c r="D34" s="58" t="n"/>
    </row>
    <row r="35" ht="19" customHeight="1">
      <c r="A35" s="28" t="inlineStr">
        <is>
          <t>II. DATABASE (tổng đã thêm)</t>
        </is>
      </c>
      <c r="B35" s="29" t="n"/>
      <c r="C35" s="29" t="n"/>
      <c r="D35" s="29" t="n"/>
      <c r="E35" s="29" t="n"/>
      <c r="F35" s="29" t="n"/>
    </row>
    <row r="36">
      <c r="A36" s="52" t="inlineStr">
        <is>
          <t>DB Doanh nghiệp</t>
        </is>
      </c>
      <c r="B36" s="32">
        <f>COUNTA('z_DB_DN'!$A:$A)</f>
        <v/>
      </c>
      <c r="C36" s="41" t="n"/>
      <c r="D36" s="34" t="n"/>
    </row>
    <row r="37">
      <c r="A37" s="49" t="inlineStr">
        <is>
          <t>DB HR</t>
        </is>
      </c>
      <c r="B37" s="37">
        <f>COUNTA('z_DB_HR'!$A:$A)</f>
        <v/>
      </c>
      <c r="C37" s="42" t="n"/>
      <c r="D37" s="39" t="n"/>
    </row>
    <row r="38">
      <c r="A38" s="52" t="inlineStr">
        <is>
          <t>DB Ứng viên</t>
        </is>
      </c>
      <c r="B38" s="32">
        <f>COUNTA('z_DB_UV'!$A:$A)</f>
        <v/>
      </c>
      <c r="C38" s="41" t="n"/>
      <c r="D38" s="34" t="n"/>
    </row>
    <row r="39">
      <c r="A39" s="49" t="inlineStr">
        <is>
          <t>Tin tuyển dụng đã đăng</t>
        </is>
      </c>
      <c r="B39" s="37">
        <f>COUNTA('z_DB_Tin'!$A:$A)</f>
        <v/>
      </c>
      <c r="C39" s="42" t="n"/>
      <c r="D39" s="39" t="n"/>
    </row>
    <row r="41" ht="22" customHeight="1">
      <c r="A41" s="11" t="inlineStr">
        <is>
          <t>TÌNH TRẠNG XỬ LÝ LỖI (toàn bộ)</t>
        </is>
      </c>
      <c r="B41" s="7" t="n"/>
      <c r="C41" s="7" t="n"/>
      <c r="D41" s="7" t="n"/>
      <c r="E41" s="7" t="n"/>
      <c r="F41" s="7" t="n"/>
    </row>
    <row r="42">
      <c r="A42" s="43" t="inlineStr">
        <is>
          <t>Trạng thái</t>
        </is>
      </c>
      <c r="B42" s="44" t="inlineStr">
        <is>
          <t>Số lỗi</t>
        </is>
      </c>
      <c r="C42" s="43" t="inlineStr">
        <is>
          <t>Ý nghĩa</t>
        </is>
      </c>
      <c r="D42" s="59" t="n"/>
      <c r="E42" s="59" t="n"/>
      <c r="F42" s="59" t="n"/>
    </row>
    <row r="43">
      <c r="A43" s="60" t="inlineStr">
        <is>
          <t>Open</t>
        </is>
      </c>
      <c r="B43" s="32">
        <f>COUNTIF('z_Loi'!$U:$U,"Open")</f>
        <v/>
      </c>
      <c r="C43" s="61" t="inlineStr">
        <is>
          <t>Lỗi đang mở, đã ghi nhận</t>
        </is>
      </c>
      <c r="D43" s="62" t="n"/>
      <c r="E43" s="62" t="n"/>
      <c r="F43" s="62" t="n"/>
    </row>
    <row r="44">
      <c r="A44" s="63" t="inlineStr">
        <is>
          <t>Chưa gửi Dev</t>
        </is>
      </c>
      <c r="B44" s="37">
        <f>COUNTIF('z_Loi'!$U:$U,"Chưa gửi Dev")</f>
        <v/>
      </c>
      <c r="C44" s="64" t="inlineStr">
        <is>
          <t>Chưa chuyển Dev xử lý</t>
        </is>
      </c>
      <c r="D44" s="65" t="n"/>
      <c r="E44" s="65" t="n"/>
      <c r="F44" s="65" t="n"/>
    </row>
    <row r="45">
      <c r="A45" s="66" t="inlineStr">
        <is>
          <t>Fixed</t>
        </is>
      </c>
      <c r="B45" s="32">
        <f>COUNTIF('z_Loi'!$U:$U,"Fixed")</f>
        <v/>
      </c>
      <c r="C45" s="61" t="inlineStr">
        <is>
          <t>Dev báo đã sửa</t>
        </is>
      </c>
      <c r="D45" s="62" t="n"/>
      <c r="E45" s="62" t="n"/>
      <c r="F45" s="62" t="n"/>
    </row>
    <row r="46">
      <c r="A46" s="67" t="inlineStr">
        <is>
          <t>Verified</t>
        </is>
      </c>
      <c r="B46" s="37">
        <f>COUNTIF('z_Loi'!$U:$U,"Verified")</f>
        <v/>
      </c>
      <c r="C46" s="64" t="inlineStr">
        <is>
          <t>Đã retest đạt</t>
        </is>
      </c>
      <c r="D46" s="65" t="n"/>
      <c r="E46" s="65" t="n"/>
      <c r="F46" s="65" t="n"/>
    </row>
    <row r="47">
      <c r="A47" s="68" t="inlineStr">
        <is>
          <t>Closed</t>
        </is>
      </c>
      <c r="B47" s="32">
        <f>COUNTIF('z_Loi'!$U:$U,"Closed")</f>
        <v/>
      </c>
      <c r="C47" s="61" t="inlineStr">
        <is>
          <t>Đã đóng</t>
        </is>
      </c>
      <c r="D47" s="62" t="n"/>
      <c r="E47" s="62" t="n"/>
      <c r="F47" s="62" t="n"/>
    </row>
    <row r="48">
      <c r="A48" s="69" t="inlineStr">
        <is>
          <t>Deferred</t>
        </is>
      </c>
      <c r="B48" s="37">
        <f>COUNTIF('z_Loi'!$U:$U,"Deferred")</f>
        <v/>
      </c>
      <c r="C48" s="64" t="inlineStr">
        <is>
          <t>Tạm hoãn / không sửa</t>
        </is>
      </c>
      <c r="D48" s="65" t="n"/>
      <c r="E48" s="65" t="n"/>
      <c r="F48" s="65" t="n"/>
    </row>
    <row r="50" ht="22" customHeight="1">
      <c r="A50" s="11" t="inlineStr">
        <is>
          <t>PHÂN BỐ LỖI TRONG THÁNG</t>
        </is>
      </c>
      <c r="B50" s="7" t="n"/>
      <c r="C50" s="7" t="n"/>
      <c r="D50" s="7" t="n"/>
      <c r="E50" s="7" t="n"/>
      <c r="F50" s="7" t="n"/>
    </row>
    <row r="51">
      <c r="A51" s="43" t="inlineStr">
        <is>
          <t>Theo mức độ</t>
        </is>
      </c>
      <c r="B51" s="44" t="inlineStr">
        <is>
          <t>Số lỗi</t>
        </is>
      </c>
      <c r="D51" s="43" t="inlineStr">
        <is>
          <t>Theo thiết bị</t>
        </is>
      </c>
      <c r="E51" s="44" t="inlineStr">
        <is>
          <t>Số lỗi</t>
        </is>
      </c>
    </row>
    <row r="52">
      <c r="A52" s="60" t="inlineStr">
        <is>
          <t>Critical</t>
        </is>
      </c>
      <c r="B52" s="32">
        <f>COUNTIFS('z_Loi'!$Q:$Q,"&gt;="&amp;'01_Báo_cáo_Tháng'!$N$4,'z_Loi'!$Q:$Q,"&lt;="&amp;'01_Báo_cáo_Tháng'!$O$4,'z_Loi'!$L:$L,"Critical")</f>
        <v/>
      </c>
      <c r="D52" s="52" t="inlineStr">
        <is>
          <t>Desktop</t>
        </is>
      </c>
      <c r="E52" s="32">
        <f>COUNTIFS('z_Loi'!$Q:$Q,"&gt;="&amp;'01_Báo_cáo_Tháng'!$N$4,'z_Loi'!$Q:$Q,"&lt;="&amp;'01_Báo_cáo_Tháng'!$O$4,'z_Loi'!$M:$M,"*Desktop*")</f>
        <v/>
      </c>
    </row>
    <row r="53">
      <c r="A53" s="70" t="inlineStr">
        <is>
          <t>High</t>
        </is>
      </c>
      <c r="B53" s="37">
        <f>COUNTIFS('z_Loi'!$Q:$Q,"&gt;="&amp;'01_Báo_cáo_Tháng'!$N$4,'z_Loi'!$Q:$Q,"&lt;="&amp;'01_Báo_cáo_Tháng'!$O$4,'z_Loi'!$L:$L,"High")</f>
        <v/>
      </c>
      <c r="D53" s="49" t="inlineStr">
        <is>
          <t>Mobile</t>
        </is>
      </c>
      <c r="E53" s="37">
        <f>COUNTIFS('z_Loi'!$Q:$Q,"&gt;="&amp;'01_Báo_cáo_Tháng'!$N$4,'z_Loi'!$Q:$Q,"&lt;="&amp;'01_Báo_cáo_Tháng'!$O$4,'z_Loi'!$M:$M,"*Mobile*")</f>
        <v/>
      </c>
    </row>
    <row r="54">
      <c r="A54" s="71" t="inlineStr">
        <is>
          <t>Medium</t>
        </is>
      </c>
      <c r="B54" s="32">
        <f>COUNTIFS('z_Loi'!$Q:$Q,"&gt;="&amp;'01_Báo_cáo_Tháng'!$N$4,'z_Loi'!$Q:$Q,"&lt;="&amp;'01_Báo_cáo_Tháng'!$O$4,'z_Loi'!$L:$L,"Medium")</f>
        <v/>
      </c>
      <c r="D54" s="52" t="inlineStr">
        <is>
          <t>Tablet</t>
        </is>
      </c>
      <c r="E54" s="32">
        <f>COUNTIFS('z_Loi'!$Q:$Q,"&gt;="&amp;'01_Báo_cáo_Tháng'!$N$4,'z_Loi'!$Q:$Q,"&lt;="&amp;'01_Báo_cáo_Tháng'!$O$4,'z_Loi'!$M:$M,"*Tablet*")</f>
        <v/>
      </c>
    </row>
    <row r="55">
      <c r="A55" s="67" t="inlineStr">
        <is>
          <t>Low</t>
        </is>
      </c>
      <c r="B55" s="37">
        <f>COUNTIFS('z_Loi'!$Q:$Q,"&gt;="&amp;'01_Báo_cáo_Tháng'!$N$4,'z_Loi'!$Q:$Q,"&lt;="&amp;'01_Báo_cáo_Tháng'!$O$4,'z_Loi'!$L:$L,"Low")</f>
        <v/>
      </c>
    </row>
    <row r="57">
      <c r="A57" s="72" t="inlineStr">
        <is>
          <t>THANH TIẾN ĐỘ HOÀN THÀNH</t>
        </is>
      </c>
      <c r="B57" s="59" t="n"/>
      <c r="C57" s="59" t="n"/>
      <c r="D57" s="59" t="n"/>
      <c r="E57" s="59" t="n"/>
      <c r="F57" s="59" t="n"/>
    </row>
    <row r="58">
      <c r="A58" s="73" t="inlineStr">
        <is>
          <t>Trang</t>
        </is>
      </c>
      <c r="B58" s="74">
        <f>REPT("█",ROUND('z_Trang'!$F$1*30,0))&amp;" "&amp;TEXT('z_Trang'!$F$1,"0.0%")</f>
        <v/>
      </c>
      <c r="C58" s="62" t="n"/>
      <c r="D58" s="62" t="n"/>
      <c r="E58" s="62" t="n"/>
      <c r="F58" s="62" t="n"/>
    </row>
    <row r="59">
      <c r="A59" s="75" t="inlineStr">
        <is>
          <t>Tính năng</t>
        </is>
      </c>
      <c r="B59" s="76">
        <f>REPT("█",ROUND('z_TinhNang'!$F$1*30,0))&amp;" "&amp;TEXT('z_TinhNang'!$F$1,"0.0%")</f>
        <v/>
      </c>
      <c r="C59" s="65" t="n"/>
      <c r="D59" s="65" t="n"/>
      <c r="E59" s="65" t="n"/>
      <c r="F59" s="65" t="n"/>
    </row>
    <row r="61" ht="22" customHeight="1">
      <c r="A61" s="11" t="inlineStr">
        <is>
          <t>CHI TIẾT LỖI TRONG THÁNG THEO TRANG &amp; TÍNH NĂNG</t>
        </is>
      </c>
      <c r="B61" s="7" t="n"/>
      <c r="C61" s="7" t="n"/>
      <c r="D61" s="7" t="n"/>
      <c r="E61" s="7" t="n"/>
      <c r="F61" s="7" t="n"/>
    </row>
    <row r="62">
      <c r="A62" s="43" t="inlineStr">
        <is>
          <t>Trang đã kiểm thử trong tháng</t>
        </is>
      </c>
      <c r="B62" s="44" t="inlineStr">
        <is>
          <t>Số lỗi</t>
        </is>
      </c>
      <c r="D62" s="43" t="inlineStr">
        <is>
          <t>Tính năng đã kiểm thử trong tháng</t>
        </is>
      </c>
      <c r="E62" s="44" t="inlineStr">
        <is>
          <t>Số lỗi</t>
        </is>
      </c>
    </row>
    <row r="63">
      <c r="A63" s="77">
        <f>IFERROR(QUERY('z_Loi'!$A$1:$U$606,"select B, count(E) where E is not null and Q &gt;= date '"&amp;TEXT($N$4,"yyyy-mm-dd")&amp;"' and Q &lt;= date '"&amp;TEXT($O$4,"yyyy-mm-dd")&amp;"' group by B order by count(E) desc label count(E) '', B ''",1),"(không có lỗi trong kỳ)")</f>
        <v/>
      </c>
      <c r="B63" s="14" t="n"/>
      <c r="D63" s="77">
        <f>IFERROR(QUERY('z_Loi'!$A$1:$U$606,"select D, count(E) where E is not null and Q &gt;= date '"&amp;TEXT($N$4,"yyyy-mm-dd")&amp;"' and Q &lt;= date '"&amp;TEXT($O$4,"yyyy-mm-dd")&amp;"' group by D order by count(E) desc label count(E) '', D ''",1),"(không có lỗi trong kỳ)")</f>
        <v/>
      </c>
      <c r="E63" s="14" t="n"/>
    </row>
    <row r="64">
      <c r="A64" s="14" t="n"/>
      <c r="B64" s="14" t="n"/>
      <c r="D64" s="14" t="n"/>
      <c r="E64" s="14" t="n"/>
    </row>
    <row r="65">
      <c r="A65" s="14" t="n"/>
      <c r="B65" s="14" t="n"/>
      <c r="D65" s="14" t="n"/>
      <c r="E65" s="14" t="n"/>
    </row>
    <row r="66">
      <c r="A66" s="14" t="n"/>
      <c r="B66" s="14" t="n"/>
      <c r="D66" s="14" t="n"/>
      <c r="E66" s="14" t="n"/>
    </row>
    <row r="67">
      <c r="A67" s="14" t="n"/>
      <c r="B67" s="14" t="n"/>
      <c r="D67" s="14" t="n"/>
      <c r="E67" s="14" t="n"/>
    </row>
    <row r="68">
      <c r="A68" s="14" t="n"/>
      <c r="B68" s="14" t="n"/>
      <c r="D68" s="14" t="n"/>
      <c r="E68" s="14" t="n"/>
    </row>
    <row r="69">
      <c r="A69" s="14" t="n"/>
      <c r="B69" s="14" t="n"/>
      <c r="D69" s="14" t="n"/>
      <c r="E69" s="14" t="n"/>
    </row>
    <row r="70">
      <c r="A70" s="14" t="n"/>
      <c r="B70" s="14" t="n"/>
      <c r="D70" s="14" t="n"/>
      <c r="E70" s="14" t="n"/>
    </row>
    <row r="71">
      <c r="A71" s="14" t="n"/>
      <c r="B71" s="14" t="n"/>
      <c r="D71" s="14" t="n"/>
      <c r="E71" s="14" t="n"/>
    </row>
    <row r="72">
      <c r="A72" s="14" t="n"/>
      <c r="B72" s="14" t="n"/>
      <c r="D72" s="14" t="n"/>
      <c r="E72" s="14" t="n"/>
    </row>
    <row r="73">
      <c r="A73" s="14" t="n"/>
      <c r="B73" s="14" t="n"/>
      <c r="D73" s="14" t="n"/>
      <c r="E73" s="14" t="n"/>
    </row>
    <row r="74">
      <c r="A74" s="14" t="n"/>
      <c r="B74" s="14" t="n"/>
      <c r="D74" s="14" t="n"/>
      <c r="E74" s="14" t="n"/>
    </row>
    <row r="75">
      <c r="A75" s="14" t="n"/>
      <c r="B75" s="14" t="n"/>
      <c r="D75" s="14" t="n"/>
      <c r="E75" s="14" t="n"/>
    </row>
    <row r="76">
      <c r="A76" s="14" t="n"/>
      <c r="B76" s="14" t="n"/>
      <c r="D76" s="14" t="n"/>
      <c r="E76" s="14" t="n"/>
    </row>
    <row r="77">
      <c r="A77" s="14" t="n"/>
      <c r="B77" s="14" t="n"/>
      <c r="D77" s="14" t="n"/>
      <c r="E77" s="14" t="n"/>
    </row>
  </sheetData>
  <mergeCells count="21">
    <mergeCell ref="A41:F41"/>
    <mergeCell ref="A16:F16"/>
    <mergeCell ref="C48:F48"/>
    <mergeCell ref="B59:F59"/>
    <mergeCell ref="A12:F12"/>
    <mergeCell ref="A50:F50"/>
    <mergeCell ref="B58:F58"/>
    <mergeCell ref="A57:F57"/>
    <mergeCell ref="A2:F2"/>
    <mergeCell ref="A22:F22"/>
    <mergeCell ref="A35:F35"/>
    <mergeCell ref="C42:F42"/>
    <mergeCell ref="C45:F45"/>
    <mergeCell ref="C47:F47"/>
    <mergeCell ref="C44:F44"/>
    <mergeCell ref="A24:F24"/>
    <mergeCell ref="A1:F1"/>
    <mergeCell ref="C43:F43"/>
    <mergeCell ref="C46:F46"/>
    <mergeCell ref="A61:F61"/>
    <mergeCell ref="A7:F7"/>
  </mergeCells>
  <dataValidations count="1">
    <dataValidation sqref="B4" showDropDown="0" showInputMessage="0" showErrorMessage="0" allowBlank="0" type="list">
      <formula1>"1,2,3,4,5,6,7,8,9,10,11,12"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4" customWidth="1" min="3" max="3"/>
    <col width="14" customWidth="1" min="4" max="4"/>
    <col width="14" customWidth="1" min="5" max="5"/>
    <col width="28" customWidth="1" min="6" max="6"/>
    <col hidden="1" width="13" customWidth="1" min="14" max="14"/>
    <col hidden="1" width="13" customWidth="1" min="15" max="15"/>
  </cols>
  <sheetData>
    <row r="1" ht="30" customHeight="1">
      <c r="A1" s="2" t="inlineStr">
        <is>
          <t>BÁO CÁO TIẾN ĐỘ THEO TUẦN</t>
        </is>
      </c>
      <c r="B1" s="3" t="n"/>
      <c r="C1" s="3" t="n"/>
      <c r="D1" s="3" t="n"/>
      <c r="E1" s="3" t="n"/>
      <c r="F1" s="3" t="n"/>
    </row>
    <row r="2">
      <c r="A2" s="22" t="inlineStr">
        <is>
          <t>Tuần theo tuần-trong-tháng: Tuần 1 = ngày 1–7, Tuần 2 = 8–14, ...</t>
        </is>
      </c>
      <c r="B2" s="5" t="n"/>
      <c r="C2" s="5" t="n"/>
      <c r="D2" s="5" t="n"/>
      <c r="E2" s="5" t="n"/>
      <c r="F2" s="5" t="n"/>
    </row>
    <row r="4">
      <c r="A4" s="23" t="inlineStr">
        <is>
          <t>Tháng</t>
        </is>
      </c>
      <c r="B4" s="24" t="n">
        <v>8</v>
      </c>
      <c r="C4" s="23" t="inlineStr">
        <is>
          <t>Tuần</t>
        </is>
      </c>
      <c r="D4" s="24" t="n">
        <v>2</v>
      </c>
      <c r="E4" s="23" t="inlineStr">
        <is>
          <t>Năm</t>
        </is>
      </c>
      <c r="F4" s="24" t="n">
        <v>2026</v>
      </c>
      <c r="N4">
        <f>DATE(F4,B4,(D4-1)*7+1)</f>
        <v/>
      </c>
      <c r="O4">
        <f>MIN(EOMONTH(DATE(F4,B4,1),0),DATE(F4,B4,D4*7))</f>
        <v/>
      </c>
    </row>
    <row r="5">
      <c r="A5" s="78" t="inlineStr">
        <is>
          <t>Từ ngày</t>
        </is>
      </c>
      <c r="B5" s="79">
        <f>N4</f>
        <v/>
      </c>
      <c r="C5" s="78" t="inlineStr">
        <is>
          <t>Đến ngày</t>
        </is>
      </c>
      <c r="D5" s="79">
        <f>O4</f>
        <v/>
      </c>
      <c r="E5" s="80">
        <f>IF(ISERROR('z_Trang'!$B$1),"⚠ Chưa kết nối","✔ Đã kết nối")</f>
        <v/>
      </c>
      <c r="F5" s="5" t="n"/>
    </row>
    <row r="7" ht="22" customHeight="1">
      <c r="A7" s="11" t="inlineStr">
        <is>
          <t>CHỈ SỐ TRONG TUẦN</t>
        </is>
      </c>
      <c r="B7" s="7" t="n"/>
      <c r="C7" s="7" t="n"/>
      <c r="D7" s="7" t="n"/>
      <c r="E7" s="7" t="n"/>
      <c r="F7" s="7" t="n"/>
    </row>
    <row r="8">
      <c r="A8" s="26" t="inlineStr">
        <is>
          <t>Chỉ số</t>
        </is>
      </c>
      <c r="B8" s="27" t="inlineStr">
        <is>
          <t>Kết quả</t>
        </is>
      </c>
      <c r="C8" s="26" t="inlineStr">
        <is>
          <t>Ghi chú</t>
        </is>
      </c>
      <c r="D8" s="81" t="n"/>
      <c r="E8" s="81" t="n"/>
      <c r="F8" s="81" t="n"/>
    </row>
    <row r="9">
      <c r="A9" s="52" t="inlineStr">
        <is>
          <t>Công việc hoàn thành</t>
        </is>
      </c>
      <c r="B9" s="32">
        <f>COUNTIFS('z_CV'!$B:$B,"&gt;="&amp;$N$4,'z_CV'!$B:$B,"&lt;="&amp;$O$4,'z_CV'!$O:$O,"Hoàn thành")</f>
        <v/>
      </c>
      <c r="C9" s="35" t="inlineStr">
        <is>
          <t>Nhật ký công việc theo ngày</t>
        </is>
      </c>
      <c r="D9" s="62" t="n"/>
      <c r="E9" s="62" t="n"/>
      <c r="F9" s="62" t="n"/>
    </row>
    <row r="10">
      <c r="A10" s="49" t="inlineStr">
        <is>
          <t>Công việc đang tiến hành</t>
        </is>
      </c>
      <c r="B10" s="37">
        <f>COUNTIFS('z_CV'!$B:$B,"&gt;="&amp;$N$4,'z_CV'!$B:$B,"&lt;="&amp;$O$4,'z_CV'!$O:$O,"Đang làm")</f>
        <v/>
      </c>
      <c r="C10" s="40" t="inlineStr"/>
      <c r="D10" s="65" t="n"/>
      <c r="E10" s="65" t="n"/>
      <c r="F10" s="65" t="n"/>
    </row>
    <row r="11">
      <c r="A11" s="52" t="inlineStr">
        <is>
          <t>Lỗi phát hiện</t>
        </is>
      </c>
      <c r="B11" s="32">
        <f>COUNTIFS('z_Loi'!$Q:$Q,"&gt;="&amp;$N$4,'z_Loi'!$Q:$Q,"&lt;="&amp;$O$4)</f>
        <v/>
      </c>
      <c r="C11" s="35" t="inlineStr">
        <is>
          <t>Theo Ngày phát hiện (05_Lỗi_Tester)</t>
        </is>
      </c>
      <c r="D11" s="62" t="n"/>
      <c r="E11" s="62" t="n"/>
      <c r="F11" s="62" t="n"/>
    </row>
    <row r="12">
      <c r="A12" s="49" t="inlineStr">
        <is>
          <t xml:space="preserve">    Critical</t>
        </is>
      </c>
      <c r="B12" s="82">
        <f>COUNTIFS('z_Loi'!$Q:$Q,"&gt;="&amp;$N$4,'z_Loi'!$Q:$Q,"&lt;="&amp;$O$4,'z_Loi'!$L:$L,"Critical")</f>
        <v/>
      </c>
      <c r="C12" s="40" t="inlineStr"/>
      <c r="D12" s="65" t="n"/>
      <c r="E12" s="65" t="n"/>
      <c r="F12" s="65" t="n"/>
    </row>
    <row r="13">
      <c r="A13" s="52" t="inlineStr">
        <is>
          <t xml:space="preserve">    High</t>
        </is>
      </c>
      <c r="B13" s="83">
        <f>COUNTIFS('z_Loi'!$Q:$Q,"&gt;="&amp;$N$4,'z_Loi'!$Q:$Q,"&lt;="&amp;$O$4,'z_Loi'!$L:$L,"High")</f>
        <v/>
      </c>
      <c r="C13" s="35" t="inlineStr"/>
      <c r="D13" s="62" t="n"/>
      <c r="E13" s="62" t="n"/>
      <c r="F13" s="62" t="n"/>
    </row>
    <row r="14">
      <c r="A14" s="49" t="inlineStr">
        <is>
          <t xml:space="preserve">    Medium</t>
        </is>
      </c>
      <c r="B14" s="84">
        <f>COUNTIFS('z_Loi'!$Q:$Q,"&gt;="&amp;$N$4,'z_Loi'!$Q:$Q,"&lt;="&amp;$O$4,'z_Loi'!$L:$L,"Medium")</f>
        <v/>
      </c>
      <c r="C14" s="40" t="inlineStr"/>
      <c r="D14" s="65" t="n"/>
      <c r="E14" s="65" t="n"/>
      <c r="F14" s="65" t="n"/>
    </row>
    <row r="15">
      <c r="A15" s="52" t="inlineStr">
        <is>
          <t xml:space="preserve">    Low</t>
        </is>
      </c>
      <c r="B15" s="85">
        <f>COUNTIFS('z_Loi'!$Q:$Q,"&gt;="&amp;$N$4,'z_Loi'!$Q:$Q,"&lt;="&amp;$O$4,'z_Loi'!$L:$L,"Low")</f>
        <v/>
      </c>
      <c r="C15" s="35" t="inlineStr"/>
      <c r="D15" s="62" t="n"/>
      <c r="E15" s="62" t="n"/>
      <c r="F15" s="62" t="n"/>
    </row>
    <row r="16">
      <c r="A16" s="49" t="inlineStr">
        <is>
          <t>Lỗi còn mở hiện tại</t>
        </is>
      </c>
      <c r="B16" s="82">
        <f>(COUNTIF('z_Loi'!$U:$U,"Open")+COUNTIF('z_Loi'!$U:$U,"Chưa gửi Dev"))</f>
        <v/>
      </c>
      <c r="C16" s="40" t="inlineStr">
        <is>
          <t>Open + Chưa gửi Dev (toàn bộ)</t>
        </is>
      </c>
      <c r="D16" s="65" t="n"/>
      <c r="E16" s="65" t="n"/>
      <c r="F16" s="65" t="n"/>
    </row>
    <row r="18" ht="22" customHeight="1">
      <c r="A18" s="11" t="inlineStr">
        <is>
          <t>TIẾN ĐỘ TOÀN WEBSITE (thời điểm xem)</t>
        </is>
      </c>
      <c r="B18" s="7" t="n"/>
      <c r="C18" s="7" t="n"/>
      <c r="D18" s="7" t="n"/>
      <c r="E18" s="7" t="n"/>
      <c r="F18" s="7" t="n"/>
    </row>
    <row r="19">
      <c r="A19" s="43" t="inlineStr">
        <is>
          <t>Chỉ số</t>
        </is>
      </c>
      <c r="B19" s="44" t="inlineStr">
        <is>
          <t>Số lượng</t>
        </is>
      </c>
      <c r="C19" s="44" t="inlineStr">
        <is>
          <t>Tỷ lệ</t>
        </is>
      </c>
      <c r="D19" s="59" t="n"/>
      <c r="E19" s="59" t="n"/>
      <c r="F19" s="59" t="n"/>
    </row>
    <row r="20">
      <c r="A20" s="52" t="inlineStr">
        <is>
          <t>Trang hoàn thành</t>
        </is>
      </c>
      <c r="B20" s="32">
        <f>'z_Trang'!$D$1</f>
        <v/>
      </c>
      <c r="C20" s="54">
        <f>'z_Trang'!$F$1</f>
        <v/>
      </c>
      <c r="D20" s="62" t="n"/>
      <c r="E20" s="62" t="n"/>
      <c r="F20" s="62" t="n"/>
    </row>
    <row r="21">
      <c r="A21" s="49" t="inlineStr">
        <is>
          <t>Tính năng hoàn thành</t>
        </is>
      </c>
      <c r="B21" s="37">
        <f>'z_TinhNang'!$D$1</f>
        <v/>
      </c>
      <c r="C21" s="51">
        <f>'z_TinhNang'!$F$1</f>
        <v/>
      </c>
      <c r="D21" s="65" t="n"/>
      <c r="E21" s="65" t="n"/>
      <c r="F21" s="65" t="n"/>
    </row>
    <row r="22">
      <c r="A22" s="52" t="inlineStr">
        <is>
          <t>Trang cần kiểm tra lại</t>
        </is>
      </c>
      <c r="B22" s="32">
        <f>'z_Trang'!$J$1</f>
        <v/>
      </c>
      <c r="C22" s="54">
        <f>'z_Trang'!$J$1/'z_Trang'!$B$1</f>
        <v/>
      </c>
      <c r="D22" s="62" t="n"/>
      <c r="E22" s="62" t="n"/>
      <c r="F22" s="62" t="n"/>
    </row>
    <row r="23">
      <c r="A23" s="49" t="inlineStr">
        <is>
          <t>Tính năng cần kiểm tra lại</t>
        </is>
      </c>
      <c r="B23" s="37">
        <f>'z_TinhNang'!$J$1</f>
        <v/>
      </c>
      <c r="C23" s="51">
        <f>'z_TinhNang'!$J$1/'z_TinhNang'!$B$1</f>
        <v/>
      </c>
      <c r="D23" s="65" t="n"/>
      <c r="E23" s="65" t="n"/>
      <c r="F23" s="65" t="n"/>
    </row>
  </sheetData>
  <mergeCells count="19">
    <mergeCell ref="C23:F23"/>
    <mergeCell ref="C8:F8"/>
    <mergeCell ref="E5:F5"/>
    <mergeCell ref="A18:F18"/>
    <mergeCell ref="C19:F19"/>
    <mergeCell ref="C13:F13"/>
    <mergeCell ref="A2:F2"/>
    <mergeCell ref="C15:F15"/>
    <mergeCell ref="C14:F14"/>
    <mergeCell ref="C20:F20"/>
    <mergeCell ref="C16:F16"/>
    <mergeCell ref="C10:F10"/>
    <mergeCell ref="C22:F22"/>
    <mergeCell ref="C9:F9"/>
    <mergeCell ref="A1:F1"/>
    <mergeCell ref="C12:F12"/>
    <mergeCell ref="C21:F21"/>
    <mergeCell ref="C11:F11"/>
    <mergeCell ref="A7:F7"/>
  </mergeCells>
  <dataValidations count="2">
    <dataValidation sqref="B4" showDropDown="0" showInputMessage="0" showErrorMessage="0" allowBlank="0" type="list">
      <formula1>"1,2,3,4,5,6,7,8,9,10,11,12"</formula1>
    </dataValidation>
    <dataValidation sqref="D4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B5E00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10" customWidth="1" min="3" max="3"/>
    <col width="12" customWidth="1" min="4" max="4"/>
    <col width="10" customWidth="1" min="5" max="5"/>
    <col width="16" customWidth="1" min="6" max="6"/>
    <col width="18" customWidth="1" min="7" max="7"/>
    <col width="24" customWidth="1" min="8" max="8"/>
  </cols>
  <sheetData>
    <row r="1" ht="30" customHeight="1">
      <c r="A1" s="2" t="inlineStr">
        <is>
          <t>BIÊN BẢN / CHECKLIST NGHIỆM THU</t>
        </is>
      </c>
      <c r="B1" s="3" t="n"/>
      <c r="C1" s="3" t="n"/>
      <c r="D1" s="3" t="n"/>
      <c r="E1" s="3" t="n"/>
      <c r="F1" s="3" t="n"/>
      <c r="G1" s="3" t="n"/>
      <c r="H1" s="3" t="n"/>
    </row>
    <row r="2">
      <c r="A2" s="22" t="inlineStr">
        <is>
          <t>Cột Kết luận &amp; Người duyệt do người duyệt điền.</t>
        </is>
      </c>
      <c r="B2" s="5" t="n"/>
      <c r="C2" s="5" t="n"/>
      <c r="D2" s="5" t="n"/>
      <c r="E2" s="5" t="n"/>
      <c r="F2" s="5" t="n"/>
      <c r="G2" s="5" t="n"/>
      <c r="H2" s="5" t="n"/>
    </row>
    <row r="4">
      <c r="A4" s="44" t="inlineStr">
        <is>
          <t>Kỳ nghiệm thu</t>
        </is>
      </c>
      <c r="B4" s="86" t="inlineStr">
        <is>
          <t>Tháng 8</t>
        </is>
      </c>
      <c r="C4" s="44" t="inlineStr">
        <is>
          <t>Ngày lập</t>
        </is>
      </c>
      <c r="D4" s="87">
        <f>TODAY()</f>
        <v/>
      </c>
      <c r="E4" s="88" t="n"/>
      <c r="F4" s="44" t="inlineStr">
        <is>
          <t>Người lập</t>
        </is>
      </c>
      <c r="G4" s="89" t="inlineStr"/>
    </row>
    <row r="6" ht="30" customHeight="1">
      <c r="A6" s="90" t="inlineStr">
        <is>
          <t>Hạng mục</t>
        </is>
      </c>
      <c r="B6" s="90" t="inlineStr">
        <is>
          <t>Phạm vi</t>
        </is>
      </c>
      <c r="C6" s="90" t="inlineStr">
        <is>
          <t>Tổng</t>
        </is>
      </c>
      <c r="D6" s="90" t="inlineStr">
        <is>
          <t>Hoàn thành</t>
        </is>
      </c>
      <c r="E6" s="90" t="inlineStr">
        <is>
          <t>Tỷ lệ</t>
        </is>
      </c>
      <c r="F6" s="90" t="inlineStr">
        <is>
          <t>Critical/High mở</t>
        </is>
      </c>
      <c r="G6" s="90" t="inlineStr">
        <is>
          <t>Kết luận</t>
        </is>
      </c>
      <c r="H6" s="90" t="inlineStr">
        <is>
          <t>Ghi chú</t>
        </is>
      </c>
    </row>
    <row r="7" ht="26" customHeight="1">
      <c r="A7" s="73" t="inlineStr">
        <is>
          <t>UI/UX</t>
        </is>
      </c>
      <c r="B7" s="91" t="inlineStr">
        <is>
          <t>Trang website</t>
        </is>
      </c>
      <c r="C7" s="53">
        <f>'z_Trang'!$B$1</f>
        <v/>
      </c>
      <c r="D7" s="92">
        <f>'z_Trang'!$D$1</f>
        <v/>
      </c>
      <c r="E7" s="33">
        <f>'z_Trang'!$F$1</f>
        <v/>
      </c>
      <c r="F7" s="93">
        <f>(COUNTIFS('z_Loi'!$U:$U,"Open",'z_Loi'!$L:$L,"Critical")+COUNTIFS('z_Loi'!$U:$U,"Open",'z_Loi'!$L:$L,"High")+COUNTIFS('z_Loi'!$U:$U,"Chưa gửi Dev",'z_Loi'!$L:$L,"Critical")+COUNTIFS('z_Loi'!$U:$U,"Chưa gửi Dev",'z_Loi'!$L:$L,"High"))</f>
        <v/>
      </c>
      <c r="G7" s="94" t="inlineStr">
        <is>
          <t>Chưa nghiệm thu</t>
        </is>
      </c>
      <c r="H7" s="77" t="inlineStr"/>
    </row>
    <row r="8" ht="26" customHeight="1">
      <c r="A8" s="75" t="inlineStr">
        <is>
          <t>Chức năng</t>
        </is>
      </c>
      <c r="B8" s="95" t="inlineStr">
        <is>
          <t>88 tính năng</t>
        </is>
      </c>
      <c r="C8" s="50">
        <f>'z_TinhNang'!$B$1</f>
        <v/>
      </c>
      <c r="D8" s="96">
        <f>'z_TinhNang'!$D$1</f>
        <v/>
      </c>
      <c r="E8" s="38">
        <f>'z_TinhNang'!$F$1</f>
        <v/>
      </c>
      <c r="F8" s="97">
        <f>(COUNTIFS('z_Loi'!$U:$U,"Open",'z_Loi'!$L:$L,"Critical")+COUNTIFS('z_Loi'!$U:$U,"Open",'z_Loi'!$L:$L,"High")+COUNTIFS('z_Loi'!$U:$U,"Chưa gửi Dev",'z_Loi'!$L:$L,"Critical")+COUNTIFS('z_Loi'!$U:$U,"Chưa gửi Dev",'z_Loi'!$L:$L,"High"))</f>
        <v/>
      </c>
      <c r="G8" s="98" t="inlineStr">
        <is>
          <t>Chưa nghiệm thu</t>
        </is>
      </c>
      <c r="H8" s="99" t="inlineStr"/>
    </row>
    <row r="9" ht="26" customHeight="1">
      <c r="A9" s="73" t="inlineStr">
        <is>
          <t>Responsive</t>
        </is>
      </c>
      <c r="B9" s="91" t="inlineStr">
        <is>
          <t>YC_87 + lỗi responsive</t>
        </is>
      </c>
      <c r="C9" s="53" t="inlineStr"/>
      <c r="D9" s="92" t="inlineStr"/>
      <c r="E9" s="41" t="inlineStr"/>
      <c r="F9" s="93">
        <f>COUNTIF('z_Loi'!$K:$K,"*Responsive*")</f>
        <v/>
      </c>
      <c r="G9" s="94" t="inlineStr">
        <is>
          <t>Chưa nghiệm thu</t>
        </is>
      </c>
      <c r="H9" s="77" t="inlineStr"/>
    </row>
    <row r="10" ht="26" customHeight="1">
      <c r="A10" s="75" t="inlineStr">
        <is>
          <t>Bảo mật</t>
        </is>
      </c>
      <c r="B10" s="95" t="inlineStr">
        <is>
          <t>Test Case Security</t>
        </is>
      </c>
      <c r="C10" s="50" t="inlineStr"/>
      <c r="D10" s="96" t="inlineStr"/>
      <c r="E10" s="42" t="inlineStr"/>
      <c r="F10" s="97">
        <f>COUNTIF('z_Loi'!$K:$K,"*Security*")</f>
        <v/>
      </c>
      <c r="G10" s="98" t="inlineStr">
        <is>
          <t>Chưa nghiệm thu</t>
        </is>
      </c>
      <c r="H10" s="99" t="inlineStr"/>
    </row>
    <row r="11" ht="26" customHeight="1">
      <c r="A11" s="73" t="inlineStr">
        <is>
          <t>Dữ liệu</t>
        </is>
      </c>
      <c r="B11" s="91" t="inlineStr">
        <is>
          <t>Test Case API/Database</t>
        </is>
      </c>
      <c r="C11" s="53" t="inlineStr"/>
      <c r="D11" s="92" t="inlineStr"/>
      <c r="E11" s="41" t="inlineStr"/>
      <c r="F11" s="100" t="inlineStr"/>
      <c r="G11" s="94" t="inlineStr">
        <is>
          <t>Chưa nghiệm thu</t>
        </is>
      </c>
      <c r="H11" s="77" t="inlineStr"/>
    </row>
    <row r="13">
      <c r="A13" s="72" t="inlineStr">
        <is>
          <t>KẾT LUẬN CHUNG</t>
        </is>
      </c>
      <c r="B13" s="59" t="n"/>
      <c r="C13" s="101" t="inlineStr">
        <is>
          <t>Chưa nghiệm thu</t>
        </is>
      </c>
      <c r="D13" s="62" t="n"/>
      <c r="E13" s="62" t="n"/>
      <c r="F13" s="62" t="n"/>
      <c r="G13" s="62" t="n"/>
      <c r="H13" s="62" t="n"/>
    </row>
    <row r="14" ht="34" customHeight="1">
      <c r="A14" s="102" t="inlineStr">
        <is>
          <t>Điều kiện khuyến nghị: không còn Critical/High chưa được phê duyệt; phạm vi và bằng chứng đầy đủ; ngoại lệ phải có người duyệt và lý do rõ ràng.</t>
        </is>
      </c>
      <c r="B14" s="103" t="n"/>
      <c r="C14" s="103" t="n"/>
      <c r="D14" s="103" t="n"/>
      <c r="E14" s="103" t="n"/>
      <c r="F14" s="103" t="n"/>
      <c r="G14" s="103" t="n"/>
      <c r="H14" s="103" t="n"/>
    </row>
  </sheetData>
  <mergeCells count="6">
    <mergeCell ref="C13:H13"/>
    <mergeCell ref="A2:H2"/>
    <mergeCell ref="A13:B13"/>
    <mergeCell ref="D4:E4"/>
    <mergeCell ref="A14:H1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2026-08-17T09:39:26Z</dcterms:created>
  <dcterms:modified xsi:type="dcterms:W3CDTF">2026-08-17T09:39:26Z</dcterms:modified>
</cp:coreProperties>
</file>