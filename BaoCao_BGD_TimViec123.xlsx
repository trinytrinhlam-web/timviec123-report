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8" autoFilterDateGrouping="1"/>
  </bookViews>
  <sheets>
    <sheet name="z_Config" sheetId="1" state="hidden" r:id="rId1"/>
    <sheet name="z_Trang" sheetId="2" state="hidden" r:id="rId2"/>
    <sheet name="z_TinhNang" sheetId="3" state="hidden" r:id="rId3"/>
    <sheet name="z_Dash" sheetId="4" state="hidden" r:id="rId4"/>
    <sheet name="z_Tong" sheetId="5" state="hidden" r:id="rId5"/>
    <sheet name="z_Bug" sheetId="6" state="hidden" r:id="rId6"/>
    <sheet name="z_CV" sheetId="7" state="hidden" r:id="rId7"/>
    <sheet name="z_Week" sheetId="8" state="hidden" r:id="rId8"/>
    <sheet name="00_Hướng_dẫn" sheetId="9" state="visible" r:id="rId9"/>
    <sheet name="01_Báo_cáo_Tháng" sheetId="10" state="visible" r:id="rId10"/>
    <sheet name="02_Báo_cáo_Tuần" sheetId="11" state="visible" r:id="rId11"/>
    <sheet name="03_Nghiệm_thu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26">
    <font>
      <name val="Calibri"/>
      <family val="2"/>
      <color theme="1"/>
      <sz val="11"/>
      <scheme val="minor"/>
    </font>
    <font>
      <name val="Arial"/>
      <b val="1"/>
      <color rgb="001A1A1A"/>
      <sz val="11"/>
    </font>
    <font>
      <name val="Arial"/>
      <b val="1"/>
      <color rgb="00FFFFFF"/>
      <sz val="15"/>
    </font>
    <font>
      <name val="Arial"/>
      <i val="1"/>
      <color rgb="006B7280"/>
      <sz val="10.5"/>
    </font>
    <font>
      <name val="Arial"/>
      <b val="1"/>
      <color rgb="00FFFFFF"/>
      <sz val="11"/>
    </font>
    <font>
      <name val="Arial"/>
      <color rgb="001A1A1A"/>
      <sz val="10.5"/>
    </font>
    <font>
      <name val="Arial"/>
      <b val="1"/>
      <color rgb="00FFFFFF"/>
      <sz val="11.5"/>
    </font>
    <font>
      <name val="Arial"/>
      <b val="1"/>
      <color rgb="002E5A88"/>
      <sz val="11"/>
    </font>
    <font>
      <name val="Arial"/>
      <color rgb="00C62828"/>
      <sz val="10.5"/>
    </font>
    <font>
      <name val="Arial"/>
      <color rgb="001155CC"/>
      <sz val="10.5"/>
    </font>
    <font>
      <name val="Arial"/>
      <b val="1"/>
      <color rgb="00C62828"/>
      <sz val="11"/>
    </font>
    <font>
      <name val="Arial"/>
      <i val="1"/>
      <color rgb="006B7280"/>
      <sz val="9.5"/>
    </font>
    <font>
      <name val="Arial"/>
      <b val="1"/>
      <color rgb="002E7D32"/>
      <sz val="10.5"/>
    </font>
    <font>
      <name val="Arial"/>
      <i val="1"/>
      <color rgb="006B7280"/>
      <sz val="10"/>
    </font>
    <font>
      <name val="Arial"/>
      <b val="1"/>
      <color rgb="001F3A5F"/>
      <sz val="12"/>
    </font>
    <font>
      <name val="Arial"/>
      <b val="1"/>
      <color rgb="00FFFFFF"/>
      <sz val="10.5"/>
    </font>
    <font>
      <name val="Arial"/>
      <b val="1"/>
      <color rgb="001F3A5F"/>
      <sz val="11"/>
    </font>
    <font>
      <name val="Arial"/>
      <b val="1"/>
      <color rgb="001A1A1A"/>
      <sz val="10.5"/>
    </font>
    <font>
      <name val="Arial"/>
      <color rgb="006B7280"/>
      <sz val="9.5"/>
    </font>
    <font>
      <name val="Arial"/>
      <b val="1"/>
      <color rgb="00C62828"/>
      <sz val="10.5"/>
    </font>
    <font>
      <name val="Arial"/>
      <b val="1"/>
      <color rgb="00B8860B"/>
      <sz val="10.5"/>
    </font>
    <font>
      <name val="Arial"/>
      <b val="1"/>
      <color rgb="002E7D32"/>
      <sz val="11"/>
    </font>
    <font>
      <name val="Arial"/>
      <b val="1"/>
      <color rgb="00B8860B"/>
      <sz val="11"/>
    </font>
    <font>
      <name val="&lt;openpyxl.styles.fills.PatternFill object&gt;&#10;Parameters:&#10;patternType='solid', fgColor=&lt;openpyxl.styles.colors.Color object&gt;&#10;Parameters:&#10;rgb='00FFFFFF', indexed=None, auto=None, theme=None, tint=0.0, type='rgb', bgColor=&lt;openpyxl.styles.colors.Color object&gt;&#10;Parameters:&#10;rgb='00000000', indexed=None, auto=None, theme=None, tint=0.0, type='rgb'"/>
    </font>
    <font>
      <name val="Arial"/>
      <b val="1"/>
      <color rgb="00FFFFFF"/>
      <sz val="10"/>
    </font>
    <font>
      <name val="Arial"/>
      <color rgb="001A1A1A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2E5A88"/>
      </patternFill>
    </fill>
    <fill>
      <patternFill patternType="solid">
        <fgColor rgb="00DCE6F1"/>
      </patternFill>
    </fill>
    <fill>
      <patternFill patternType="solid">
        <fgColor rgb="00F5F7FA"/>
      </patternFill>
    </fill>
    <fill>
      <patternFill patternType="solid">
        <fgColor rgb="00FDECEA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C9D6E5"/>
      </left>
      <right style="thin">
        <color rgb="00C9D6E5"/>
      </right>
      <top style="thin">
        <color rgb="00C9D6E5"/>
      </top>
      <bottom style="thin">
        <color rgb="00C9D6E5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7" borderId="0" applyAlignment="1" pivotButton="0" quotePrefix="0" xfId="0">
      <alignment horizontal="left" vertical="center" wrapText="1"/>
    </xf>
    <xf numFmtId="0" fontId="0" fillId="7" borderId="0" pivotButton="0" quotePrefix="0" xfId="0"/>
    <xf numFmtId="0" fontId="1" fillId="5" borderId="1" pivotButton="0" quotePrefix="0" xfId="0"/>
    <xf numFmtId="0" fontId="9" fillId="0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 wrapText="1"/>
    </xf>
    <xf numFmtId="164" fontId="1" fillId="8" borderId="1" applyAlignment="1" pivotButton="0" quotePrefix="0" xfId="0">
      <alignment horizontal="left" vertical="center"/>
    </xf>
    <xf numFmtId="0" fontId="0" fillId="8" borderId="1" pivotButton="0" quotePrefix="0" xfId="0"/>
    <xf numFmtId="0" fontId="11" fillId="3" borderId="0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164" fontId="1" fillId="8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center" vertical="center"/>
    </xf>
    <xf numFmtId="0" fontId="16" fillId="5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3" fontId="1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3" fontId="1" fillId="6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5" fillId="3" borderId="1" applyAlignment="1" pivotButton="0" quotePrefix="0" xfId="0">
      <alignment horizontal="left" vertical="center"/>
    </xf>
    <xf numFmtId="165" fontId="1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5" fillId="6" borderId="1" applyAlignment="1" pivotButton="0" quotePrefix="0" xfId="0">
      <alignment horizontal="left" vertical="center"/>
    </xf>
    <xf numFmtId="165" fontId="17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10" fillId="3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left" vertical="center"/>
    </xf>
    <xf numFmtId="0" fontId="19" fillId="6" borderId="1" applyAlignment="1" pivotButton="0" quotePrefix="0" xfId="0">
      <alignment horizontal="left" vertical="center"/>
    </xf>
    <xf numFmtId="0" fontId="20" fillId="3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left" vertical="center"/>
    </xf>
    <xf numFmtId="0" fontId="1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left" vertical="center"/>
    </xf>
    <xf numFmtId="0" fontId="21" fillId="6" borderId="1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0" fillId="2" borderId="1" pivotButton="0" quotePrefix="0" xfId="0"/>
    <xf numFmtId="3" fontId="22" fillId="6" borderId="1" applyAlignment="1" pivotButton="0" quotePrefix="0" xfId="0">
      <alignment horizontal="center" vertical="center"/>
    </xf>
    <xf numFmtId="3" fontId="21" fillId="3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164" fontId="1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5" fillId="8" borderId="1" applyAlignment="1" pivotButton="0" quotePrefix="0" xfId="0">
      <alignment horizontal="center" vertical="center"/>
    </xf>
    <xf numFmtId="0" fontId="23" fillId="0" borderId="0" pivotButton="0" quotePrefix="0" xfId="0"/>
    <xf numFmtId="0" fontId="24" fillId="2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center" vertical="center"/>
    </xf>
    <xf numFmtId="3" fontId="17" fillId="3" borderId="1" applyAlignment="1" pivotButton="0" quotePrefix="0" xfId="0">
      <alignment horizontal="center" vertical="center"/>
    </xf>
    <xf numFmtId="3" fontId="19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left" vertical="center"/>
    </xf>
    <xf numFmtId="0" fontId="2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/>
    </xf>
    <xf numFmtId="3" fontId="17" fillId="6" borderId="1" applyAlignment="1" pivotButton="0" quotePrefix="0" xfId="0">
      <alignment horizontal="center" vertical="center"/>
    </xf>
    <xf numFmtId="3" fontId="19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left" vertical="center"/>
    </xf>
    <xf numFmtId="0" fontId="19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" t="inlineStr">
        <is>
          <t>URL file làm việc</t>
        </is>
      </c>
      <c r="B1" t="inlineStr">
        <is>
          <t>https://docs.google.com/spreadsheets/d/1J2A_OiWz7IeYsgafLDY3mIfZsG-xCNGhkNaSQkhicHg/edit</t>
        </is>
      </c>
    </row>
    <row r="2">
      <c r="A2" s="1" t="inlineStr">
        <is>
          <t>Năm báo cáo</t>
        </is>
      </c>
      <c r="B2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IMPORTRANGE('z_Config'!$B$1,"02_UI_UX!A3:N3")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IMPORTRANGE('z_Config'!$B$1,"03_Tính_năng!A3:N3")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IMPORTRANGE('z_Config'!$B$1,"00_Dashboard_QA!A1:L22")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IMPORTRANGE('z_Config'!$B$1,"00A_Tong_hop_Trang_Tinh_nang!A4:V5")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IMPORTRANGE('z_Config'!$B$1,"04_Bug_Master_RTM!A4:AE1004")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IMPORTRANGE('z_Config'!$B$1,"01_Cong_viec_ngay!A4:P1004")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IMPORTRANGE('z_Config'!$B$1,"09_Release_Tuan!A4:D54")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A5F"/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30" customHeight="1">
      <c r="A1" s="2" t="inlineStr">
        <is>
          <t>BÁO CÁO TIẾN ĐỘ WEBSITE TIMVIEC123 — DÀNH CHO BAN GIÁM ĐỐC</t>
        </is>
      </c>
      <c r="B1" s="3" t="n"/>
      <c r="C1" s="3" t="n"/>
      <c r="D1" s="3" t="n"/>
      <c r="E1" s="3" t="n"/>
      <c r="F1" s="3" t="n"/>
    </row>
    <row r="2" ht="20" customHeight="1">
      <c r="A2" s="4" t="inlineStr">
        <is>
          <t>Số liệu đồng bộ trực tiếp (live) từ file làm việc của Tester/Dev. BGD chỉ xem, chọn kỳ ở sheet Tháng/Tuần.</t>
        </is>
      </c>
      <c r="B2" s="5" t="n"/>
      <c r="C2" s="5" t="n"/>
      <c r="D2" s="5" t="n"/>
      <c r="E2" s="5" t="n"/>
      <c r="F2" s="5" t="n"/>
    </row>
    <row r="4">
      <c r="A4" s="6" t="inlineStr">
        <is>
          <t>NGƯỜI DÙNG</t>
        </is>
      </c>
      <c r="B4" s="7" t="n"/>
      <c r="C4" s="6" t="inlineStr">
        <is>
          <t>CÁCH SỬ DỤNG</t>
        </is>
      </c>
      <c r="D4" s="7" t="n"/>
      <c r="E4" s="7" t="n"/>
      <c r="F4" s="7" t="n"/>
    </row>
    <row r="5" ht="32" customHeight="1">
      <c r="A5" s="8" t="inlineStr">
        <is>
          <t>Ban Giám đốc</t>
        </is>
      </c>
      <c r="B5" s="9" t="n"/>
      <c r="C5" s="10" t="inlineStr">
        <is>
          <t>Xem tiến độ trang/tính năng, tình trạng lỗi và nghiệm thu. Chọn Tháng/Tuần để lọc kỳ.</t>
        </is>
      </c>
    </row>
    <row r="6" ht="32" customHeight="1">
      <c r="A6" s="8" t="inlineStr">
        <is>
          <t>Tester</t>
        </is>
      </c>
      <c r="B6" s="9" t="n"/>
      <c r="C6" s="10" t="inlineStr">
        <is>
          <t>Cập nhật dữ liệu tại file làm việc; báo cáo này tự đồng bộ.</t>
        </is>
      </c>
    </row>
    <row r="7" ht="32" customHeight="1">
      <c r="A7" s="8" t="inlineStr">
        <is>
          <t>Dev</t>
        </is>
      </c>
      <c r="B7" s="9" t="n"/>
      <c r="C7" s="10" t="inlineStr">
        <is>
          <t>Cập nhật xử lý lỗi tại 04_Bug_Master_RTM / 06_RTM_Dev_Test của file làm việc.</t>
        </is>
      </c>
    </row>
    <row r="9" ht="22" customHeight="1">
      <c r="A9" s="11" t="inlineStr">
        <is>
          <t>NGUYÊN TẮC TÍNH SỐ</t>
        </is>
      </c>
      <c r="B9" s="7" t="n"/>
      <c r="C9" s="7" t="n"/>
      <c r="D9" s="7" t="n"/>
      <c r="E9" s="7" t="n"/>
      <c r="F9" s="7" t="n"/>
    </row>
    <row r="10" ht="28" customHeight="1">
      <c r="A10" s="12" t="n">
        <v>1</v>
      </c>
      <c r="B10" s="13" t="inlineStr">
        <is>
          <t>Tiến độ trang = số trang Hoàn thành / tổng 56 trang.</t>
        </is>
      </c>
      <c r="C10" s="14" t="n"/>
      <c r="D10" s="14" t="n"/>
      <c r="E10" s="14" t="n"/>
      <c r="F10" s="14" t="n"/>
    </row>
    <row r="11" ht="28" customHeight="1">
      <c r="A11" s="12" t="n">
        <v>2</v>
      </c>
      <c r="B11" s="13" t="inlineStr">
        <is>
          <t>Tiến độ tính năng = số tính năng Hoàn thành / tổng 88 tính năng (gồm YC_88 Scan đang chờ chốt flow).</t>
        </is>
      </c>
      <c r="C11" s="14" t="n"/>
      <c r="D11" s="14" t="n"/>
      <c r="E11" s="14" t="n"/>
      <c r="F11" s="14" t="n"/>
    </row>
    <row r="12" ht="28" customHeight="1">
      <c r="A12" s="12" t="n">
        <v>3</v>
      </c>
      <c r="B12" s="13" t="inlineStr">
        <is>
          <t>Lỗi đang mở, phân bố mức độ lấy theo dashboard QA hiện hành của file làm việc.</t>
        </is>
      </c>
      <c r="C12" s="14" t="n"/>
      <c r="D12" s="14" t="n"/>
      <c r="E12" s="14" t="n"/>
      <c r="F12" s="14" t="n"/>
    </row>
    <row r="13" ht="28" customHeight="1">
      <c r="A13" s="12" t="n">
        <v>4</v>
      </c>
      <c r="B13" s="13" t="inlineStr">
        <is>
          <t>Chỉ số theo Tháng/Tuần dùng Ngày phát hiện lỗi và Ngày công việc trong file làm việc.</t>
        </is>
      </c>
      <c r="C13" s="14" t="n"/>
      <c r="D13" s="14" t="n"/>
      <c r="E13" s="14" t="n"/>
      <c r="F13" s="14" t="n"/>
    </row>
    <row r="14" ht="28" customHeight="1">
      <c r="A14" s="12" t="n">
        <v>5</v>
      </c>
      <c r="B14" s="13" t="inlineStr">
        <is>
          <t>Một lỗi có thể ở nhiều thiết bị, nên tổng theo thiết bị có thể lớn hơn tổng số lỗi.</t>
        </is>
      </c>
      <c r="C14" s="14" t="n"/>
      <c r="D14" s="14" t="n"/>
      <c r="E14" s="14" t="n"/>
      <c r="F14" s="14" t="n"/>
    </row>
    <row r="16" ht="22" customHeight="1">
      <c r="A16" s="11" t="inlineStr">
        <is>
          <t>LƯU Ý ĐỒNG BỘ (QUAN TRỌNG)</t>
        </is>
      </c>
      <c r="B16" s="7" t="n"/>
      <c r="C16" s="7" t="n"/>
      <c r="D16" s="7" t="n"/>
      <c r="E16" s="7" t="n"/>
      <c r="F16" s="7" t="n"/>
    </row>
    <row r="17" ht="40" customHeight="1">
      <c r="A17" s="15" t="inlineStr">
        <is>
          <t>Lần đầu mở file: nếu thấy ô báo #REF! hoặc "CHUA_KET_NOI", bấm vào ô đó → chọn "Cho phép truy cập / Allow access" để kết nối tới file làm việc. Chỉ cần làm 1 lần.</t>
        </is>
      </c>
      <c r="B17" s="16" t="n"/>
      <c r="C17" s="16" t="n"/>
      <c r="D17" s="16" t="n"/>
      <c r="E17" s="16" t="n"/>
      <c r="F17" s="16" t="n"/>
    </row>
    <row r="19" ht="22" customHeight="1">
      <c r="A19" s="11" t="inlineStr">
        <is>
          <t>LIÊN KẾT &amp; TÌNH TRẠNG</t>
        </is>
      </c>
      <c r="B19" s="7" t="n"/>
      <c r="C19" s="7" t="n"/>
      <c r="D19" s="7" t="n"/>
      <c r="E19" s="7" t="n"/>
      <c r="F19" s="7" t="n"/>
    </row>
    <row r="20">
      <c r="A20" s="17" t="inlineStr">
        <is>
          <t>File làm việc (nguồn)</t>
        </is>
      </c>
      <c r="B20" s="18" t="inlineStr">
        <is>
          <t>https://docs.google.com/spreadsheets/d/1J2A_OiWz7IeYsgafLDY3mIfZsG-xCNGhkNaSQkhicHg/edit</t>
        </is>
      </c>
      <c r="C20" s="14" t="n"/>
      <c r="D20" s="14" t="n"/>
      <c r="E20" s="14" t="n"/>
      <c r="F20" s="14" t="n"/>
    </row>
    <row r="21">
      <c r="A21" s="19" t="inlineStr">
        <is>
          <t>① Kích hoạt kết nối</t>
        </is>
      </c>
      <c r="B21" s="20">
        <f>IMPORTRANGE('z_Config'!$B$1,"00A_Tong_hop_Trang_Tinh_nang!T5")</f>
        <v/>
      </c>
      <c r="C21" s="21" t="n"/>
      <c r="D21" s="21" t="n"/>
      <c r="E21" s="21" t="n"/>
      <c r="F21" s="21" t="n"/>
    </row>
    <row r="22" ht="28" customHeight="1">
      <c r="A22" s="22" t="inlineStr">
        <is>
          <t>→ Nếu ô ① báo #REF!: bấm vào ô đó, chọn "Cho phép truy cập / Allow access". Sau đó toàn bộ báo cáo tự có số. Chỉ làm 1 lần.</t>
        </is>
      </c>
      <c r="B22" s="5" t="n"/>
      <c r="C22" s="5" t="n"/>
      <c r="D22" s="5" t="n"/>
      <c r="E22" s="5" t="n"/>
      <c r="F22" s="5" t="n"/>
    </row>
    <row r="23">
      <c r="A23" s="17" t="inlineStr">
        <is>
          <t>Trạng thái kết nối</t>
        </is>
      </c>
      <c r="B23" s="23">
        <f>IF(ISERROR('z_Trang'!$B$1),"⚠ Chưa kết nối — hãy Cho phép truy cập ở ô ①","✔ Đã kết nối — báo cáo đang cập nhật live")</f>
        <v/>
      </c>
      <c r="C23" s="14" t="n"/>
      <c r="D23" s="14" t="n"/>
      <c r="E23" s="14" t="n"/>
      <c r="F23" s="14" t="n"/>
    </row>
  </sheetData>
  <mergeCells count="23">
    <mergeCell ref="A16:F16"/>
    <mergeCell ref="C7:F7"/>
    <mergeCell ref="A6:B6"/>
    <mergeCell ref="B21:F21"/>
    <mergeCell ref="A2:F2"/>
    <mergeCell ref="B12:F12"/>
    <mergeCell ref="A7:B7"/>
    <mergeCell ref="B11:F11"/>
    <mergeCell ref="C6:F6"/>
    <mergeCell ref="A22:F22"/>
    <mergeCell ref="A17:F17"/>
    <mergeCell ref="B23:F23"/>
    <mergeCell ref="B14:F14"/>
    <mergeCell ref="C5:F5"/>
    <mergeCell ref="B13:F13"/>
    <mergeCell ref="A19:F19"/>
    <mergeCell ref="C4:F4"/>
    <mergeCell ref="B10:F10"/>
    <mergeCell ref="A9:F9"/>
    <mergeCell ref="A5:B5"/>
    <mergeCell ref="A4:B4"/>
    <mergeCell ref="B20:F20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A88"/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3" customWidth="1" min="5" max="5"/>
    <col width="30" customWidth="1" min="6" max="6"/>
    <col width="3" customWidth="1" min="7" max="7"/>
    <col width="16" customWidth="1" min="8" max="8"/>
    <col width="10" customWidth="1" min="9" max="9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THÁNG</t>
        </is>
      </c>
      <c r="B1" s="3" t="n"/>
      <c r="C1" s="3" t="n"/>
      <c r="D1" s="3" t="n"/>
      <c r="E1" s="3" t="n"/>
      <c r="F1" s="3" t="n"/>
    </row>
    <row r="2">
      <c r="A2" s="24" t="inlineStr">
        <is>
          <t>Chọn tháng ở ô B4. Số liệu tổng thể là thời điểm hiện tại; chỉ số trong tháng lọc theo tháng đã chọn.</t>
        </is>
      </c>
      <c r="B2" s="5" t="n"/>
      <c r="C2" s="5" t="n"/>
      <c r="D2" s="5" t="n"/>
      <c r="E2" s="5" t="n"/>
      <c r="F2" s="5" t="n"/>
    </row>
    <row r="4">
      <c r="A4" s="25" t="inlineStr">
        <is>
          <t>Tháng báo cáo</t>
        </is>
      </c>
      <c r="B4" s="26" t="n">
        <v>8</v>
      </c>
      <c r="C4" s="25" t="inlineStr">
        <is>
          <t>Năm</t>
        </is>
      </c>
      <c r="D4" s="26" t="n">
        <v>2026</v>
      </c>
      <c r="E4" s="25" t="inlineStr">
        <is>
          <t>Ngày chốt</t>
        </is>
      </c>
      <c r="F4" s="27">
        <f>TODAY()</f>
        <v/>
      </c>
      <c r="N4">
        <f>DATE(D4,B4,1)</f>
        <v/>
      </c>
      <c r="O4">
        <f>EOMONTH(N4,0)</f>
        <v/>
      </c>
    </row>
    <row r="6" ht="22" customHeight="1">
      <c r="A6" s="28" t="inlineStr">
        <is>
          <t>KPI / CHỈ SỐ</t>
        </is>
      </c>
      <c r="B6" s="29" t="inlineStr">
        <is>
          <t>Mục tiêu</t>
        </is>
      </c>
      <c r="C6" s="29" t="inlineStr">
        <is>
          <t>Kết quả</t>
        </is>
      </c>
      <c r="D6" s="29" t="inlineStr">
        <is>
          <t>Tỷ lệ / %</t>
        </is>
      </c>
      <c r="E6" s="29" t="inlineStr">
        <is>
          <t>Đánh giá</t>
        </is>
      </c>
      <c r="F6" s="29" t="inlineStr">
        <is>
          <t>Ghi chú</t>
        </is>
      </c>
    </row>
    <row r="7" ht="20" customHeight="1">
      <c r="A7" s="30" t="inlineStr">
        <is>
          <t>I. KIỂM TRA WEBSITE</t>
        </is>
      </c>
      <c r="B7" s="9" t="n"/>
      <c r="C7" s="9" t="n"/>
      <c r="D7" s="9" t="n"/>
      <c r="E7" s="9" t="n"/>
      <c r="F7" s="9" t="n"/>
    </row>
    <row r="8">
      <c r="A8" s="31" t="inlineStr">
        <is>
          <t>1. Trang hoàn thành</t>
        </is>
      </c>
      <c r="B8" s="32" t="inlineStr">
        <is>
          <t>100%</t>
        </is>
      </c>
      <c r="C8" s="33">
        <f>'z_Trang'!$D$1</f>
        <v/>
      </c>
      <c r="D8" s="34">
        <f>'z_Trang'!$F$1</f>
        <v/>
      </c>
      <c r="E8" s="35">
        <f>IF('z_Trang'!$F$1&gt;=1,"Đạt","Đang làm")</f>
        <v/>
      </c>
      <c r="F8" s="36" t="inlineStr">
        <is>
          <t>Trên tổng 56 trang</t>
        </is>
      </c>
    </row>
    <row r="9">
      <c r="A9" s="37" t="inlineStr">
        <is>
          <t>2. Tính năng hoàn thành</t>
        </is>
      </c>
      <c r="B9" s="38" t="inlineStr">
        <is>
          <t>100%</t>
        </is>
      </c>
      <c r="C9" s="39">
        <f>'z_TinhNang'!$D$1</f>
        <v/>
      </c>
      <c r="D9" s="40">
        <f>'z_TinhNang'!$F$1</f>
        <v/>
      </c>
      <c r="E9" s="41">
        <f>IF('z_TinhNang'!$F$1&gt;=1,"Đạt","Đang làm")</f>
        <v/>
      </c>
      <c r="F9" s="42" t="inlineStr">
        <is>
          <t>Trên tổng 88 tính năng</t>
        </is>
      </c>
    </row>
    <row r="10">
      <c r="A10" s="31" t="inlineStr">
        <is>
          <t>3. Công việc hoàn thành trong tháng</t>
        </is>
      </c>
      <c r="B10" s="32" t="inlineStr">
        <is>
          <t>—</t>
        </is>
      </c>
      <c r="C10" s="33">
        <f>COUNTIFS('z_CV'!$B:$B,"&gt;="&amp;$N$4,'z_CV'!$B:$B,"&lt;="&amp;$O$4,'z_CV'!$O:$O,"Hoàn thành")</f>
        <v/>
      </c>
      <c r="D10" s="32" t="n"/>
      <c r="E10" s="35" t="inlineStr">
        <is>
          <t>Theo dõi</t>
        </is>
      </c>
      <c r="F10" s="36" t="inlineStr">
        <is>
          <t>Nhật ký công việc theo ngày</t>
        </is>
      </c>
    </row>
    <row r="11">
      <c r="A11" s="37" t="inlineStr">
        <is>
          <t>4. Lỗi phát hiện trong tháng</t>
        </is>
      </c>
      <c r="B11" s="38" t="inlineStr">
        <is>
          <t>—</t>
        </is>
      </c>
      <c r="C11" s="39">
        <f>COUNTIFS('z_Bug'!$B:$B,"&gt;="&amp;$N$4,'z_Bug'!$B:$B,"&lt;="&amp;$O$4)</f>
        <v/>
      </c>
      <c r="D11" s="38" t="n"/>
      <c r="E11" s="41" t="inlineStr">
        <is>
          <t>Theo dõi</t>
        </is>
      </c>
      <c r="F11" s="42" t="inlineStr">
        <is>
          <t>Theo Ngày phát hiện lỗi</t>
        </is>
      </c>
    </row>
    <row r="12" ht="20" customHeight="1">
      <c r="A12" s="30" t="inlineStr">
        <is>
          <t>II. HOÀN THIỆN WEBSITE</t>
        </is>
      </c>
      <c r="B12" s="9" t="n"/>
      <c r="C12" s="9" t="n"/>
      <c r="D12" s="9" t="n"/>
      <c r="E12" s="9" t="n"/>
      <c r="F12" s="9" t="n"/>
    </row>
    <row r="13">
      <c r="A13" s="31" t="inlineStr">
        <is>
          <t>1. Lỗi đã xử lý (Dev báo fix) trong tháng</t>
        </is>
      </c>
      <c r="B13" s="32" t="inlineStr">
        <is>
          <t>—</t>
        </is>
      </c>
      <c r="C13" s="33">
        <f>COUNTIFS('z_Bug'!$W:$W,"&gt;="&amp;$N$4,'z_Bug'!$W:$W,"&lt;="&amp;$O$4)</f>
        <v/>
      </c>
      <c r="D13" s="32" t="n"/>
      <c r="E13" s="35" t="inlineStr">
        <is>
          <t>Theo dõi</t>
        </is>
      </c>
      <c r="F13" s="36" t="inlineStr">
        <is>
          <t>Theo Ngày Dev báo fix</t>
        </is>
      </c>
    </row>
    <row r="15" ht="22" customHeight="1">
      <c r="A15" s="11" t="inlineStr">
        <is>
          <t>TỔNG QUAN HIỆN TẠI (thời điểm xem)</t>
        </is>
      </c>
      <c r="B15" s="7" t="n"/>
      <c r="C15" s="7" t="n"/>
      <c r="D15" s="7" t="n"/>
      <c r="E15" s="7" t="n"/>
      <c r="F15" s="7" t="n"/>
    </row>
    <row r="16">
      <c r="A16" s="43" t="inlineStr">
        <is>
          <t>Chỉ số</t>
        </is>
      </c>
      <c r="B16" s="44" t="inlineStr">
        <is>
          <t>Số lượng</t>
        </is>
      </c>
      <c r="C16" s="44" t="inlineStr">
        <is>
          <t>Tỷ lệ</t>
        </is>
      </c>
      <c r="D16" s="45" t="n"/>
    </row>
    <row r="17">
      <c r="A17" s="46" t="inlineStr">
        <is>
          <t>Trang hoàn thành</t>
        </is>
      </c>
      <c r="B17" s="33">
        <f>'z_Trang'!$D$1</f>
        <v/>
      </c>
      <c r="C17" s="47">
        <f>'z_Trang'!$F$1</f>
        <v/>
      </c>
      <c r="D17" s="48" t="n"/>
    </row>
    <row r="18">
      <c r="A18" s="49" t="inlineStr">
        <is>
          <t>Trang cần kiểm tra lại</t>
        </is>
      </c>
      <c r="B18" s="39">
        <f>'z_Trang'!$J$1</f>
        <v/>
      </c>
      <c r="C18" s="50">
        <f>'z_Trang'!$J$1/'z_Trang'!$B$1</f>
        <v/>
      </c>
      <c r="D18" s="51" t="n"/>
    </row>
    <row r="19">
      <c r="A19" s="46" t="inlineStr">
        <is>
          <t>Trang chưa kiểm tra</t>
        </is>
      </c>
      <c r="B19" s="33">
        <f>'z_Trang'!$L$1</f>
        <v/>
      </c>
      <c r="C19" s="47">
        <f>'z_Trang'!$L$1/'z_Trang'!$B$1</f>
        <v/>
      </c>
      <c r="D19" s="48" t="n"/>
    </row>
    <row r="20">
      <c r="A20" s="49" t="inlineStr">
        <is>
          <t>Tính năng hoàn thành</t>
        </is>
      </c>
      <c r="B20" s="39">
        <f>'z_TinhNang'!$D$1</f>
        <v/>
      </c>
      <c r="C20" s="50">
        <f>'z_TinhNang'!$F$1</f>
        <v/>
      </c>
      <c r="D20" s="51" t="n"/>
    </row>
    <row r="21">
      <c r="A21" s="46" t="inlineStr">
        <is>
          <t>Tính năng cần kiểm tra lại</t>
        </is>
      </c>
      <c r="B21" s="33">
        <f>'z_TinhNang'!$J$1</f>
        <v/>
      </c>
      <c r="C21" s="47">
        <f>'z_TinhNang'!$J$1/'z_TinhNang'!$B$1</f>
        <v/>
      </c>
      <c r="D21" s="48" t="n"/>
    </row>
    <row r="22">
      <c r="A22" s="49" t="inlineStr">
        <is>
          <t>Tổng lỗi ghi nhận</t>
        </is>
      </c>
      <c r="B22" s="39">
        <f>'z_Tong'!$J$2</f>
        <v/>
      </c>
      <c r="C22" s="51" t="inlineStr"/>
      <c r="D22" s="51" t="n"/>
    </row>
    <row r="23">
      <c r="A23" s="46" t="inlineStr">
        <is>
          <t>Lỗi đang mở</t>
        </is>
      </c>
      <c r="B23" s="52">
        <f>'z_Tong'!$L$2</f>
        <v/>
      </c>
      <c r="C23" s="48" t="inlineStr"/>
      <c r="D23" s="48" t="n"/>
    </row>
    <row r="24">
      <c r="A24" s="49" t="inlineStr">
        <is>
          <t>Lỗi Critical/High đang mở</t>
        </is>
      </c>
      <c r="B24" s="53">
        <f>'z_Dash'!$E$17+'z_Dash'!$E$18</f>
        <v/>
      </c>
      <c r="C24" s="51" t="inlineStr"/>
      <c r="D24" s="51" t="n"/>
    </row>
    <row r="26" ht="22" customHeight="1">
      <c r="A26" s="11" t="inlineStr">
        <is>
          <t>PHÂN BỐ LỖI ĐANG MỞ</t>
        </is>
      </c>
      <c r="B26" s="7" t="n"/>
      <c r="C26" s="7" t="n"/>
      <c r="D26" s="7" t="n"/>
      <c r="E26" s="7" t="n"/>
      <c r="F26" s="7" t="n"/>
    </row>
    <row r="27">
      <c r="A27" s="43" t="inlineStr">
        <is>
          <t>Theo mức độ</t>
        </is>
      </c>
      <c r="B27" s="44" t="inlineStr">
        <is>
          <t>Số lỗi mở</t>
        </is>
      </c>
      <c r="D27" s="43" t="inlineStr">
        <is>
          <t>Theo thiết bị (tổng lỗi)</t>
        </is>
      </c>
      <c r="E27" s="44" t="inlineStr">
        <is>
          <t>Số lỗi</t>
        </is>
      </c>
    </row>
    <row r="28">
      <c r="A28" s="54" t="inlineStr">
        <is>
          <t>Critical</t>
        </is>
      </c>
      <c r="B28" s="33">
        <f>'z_Dash'!$E$17</f>
        <v/>
      </c>
      <c r="D28" s="46" t="inlineStr">
        <is>
          <t>Desktop</t>
        </is>
      </c>
      <c r="E28" s="33">
        <f>COUNTIF('z_Bug'!$M:$M,"*Desktop*")</f>
        <v/>
      </c>
    </row>
    <row r="29">
      <c r="A29" s="55" t="inlineStr">
        <is>
          <t>High</t>
        </is>
      </c>
      <c r="B29" s="39">
        <f>'z_Dash'!$E$18</f>
        <v/>
      </c>
      <c r="D29" s="49" t="inlineStr">
        <is>
          <t>Mobile</t>
        </is>
      </c>
      <c r="E29" s="39">
        <f>COUNTIF('z_Bug'!$M:$M,"*Mobile*")</f>
        <v/>
      </c>
    </row>
    <row r="30">
      <c r="A30" s="56" t="inlineStr">
        <is>
          <t>Medium</t>
        </is>
      </c>
      <c r="B30" s="33">
        <f>'z_Dash'!$E$19</f>
        <v/>
      </c>
      <c r="D30" s="46" t="inlineStr">
        <is>
          <t>Tablet</t>
        </is>
      </c>
      <c r="E30" s="33">
        <f>COUNTIF('z_Bug'!$M:$M,"*Tablet*")</f>
        <v/>
      </c>
    </row>
    <row r="31">
      <c r="A31" s="57" t="inlineStr">
        <is>
          <t>Low</t>
        </is>
      </c>
      <c r="B31" s="39">
        <f>'z_Dash'!$E$20</f>
        <v/>
      </c>
    </row>
    <row r="32">
      <c r="A32" s="43" t="inlineStr">
        <is>
          <t>THANH TIẾN ĐỘ</t>
        </is>
      </c>
      <c r="B32" s="45" t="n"/>
      <c r="C32" s="7" t="inlineStr"/>
      <c r="D32" s="7" t="n"/>
      <c r="E32" s="7" t="n"/>
      <c r="F32" s="7" t="n"/>
    </row>
    <row r="33">
      <c r="A33" s="58" t="inlineStr">
        <is>
          <t>Trang</t>
        </is>
      </c>
      <c r="B33" s="59">
        <f>REPT("█",ROUND('z_Trang'!$F$1*30,0))&amp;" "&amp;TEXT('z_Trang'!$F$1,"0.0%")</f>
        <v/>
      </c>
      <c r="C33" s="48" t="n"/>
      <c r="D33" s="48" t="n"/>
      <c r="E33" s="48" t="n"/>
      <c r="F33" s="48" t="n"/>
    </row>
    <row r="34">
      <c r="A34" s="60" t="inlineStr">
        <is>
          <t>Tính năng</t>
        </is>
      </c>
      <c r="B34" s="61">
        <f>REPT("█",ROUND('z_TinhNang'!$F$1*30,0))&amp;" "&amp;TEXT('z_TinhNang'!$F$1,"0.0%")</f>
        <v/>
      </c>
      <c r="C34" s="51" t="n"/>
      <c r="D34" s="51" t="n"/>
      <c r="E34" s="51" t="n"/>
      <c r="F34" s="51" t="n"/>
    </row>
  </sheetData>
  <mergeCells count="19">
    <mergeCell ref="C24:D24"/>
    <mergeCell ref="A12:F12"/>
    <mergeCell ref="C32:F32"/>
    <mergeCell ref="A26:F26"/>
    <mergeCell ref="A2:F2"/>
    <mergeCell ref="C20:D20"/>
    <mergeCell ref="C16:D16"/>
    <mergeCell ref="C22:D22"/>
    <mergeCell ref="C21:D21"/>
    <mergeCell ref="B34:F34"/>
    <mergeCell ref="A32:B32"/>
    <mergeCell ref="C23:D23"/>
    <mergeCell ref="C17:D17"/>
    <mergeCell ref="A15:F15"/>
    <mergeCell ref="B33:F33"/>
    <mergeCell ref="A1:F1"/>
    <mergeCell ref="C19:D19"/>
    <mergeCell ref="C18:D18"/>
    <mergeCell ref="A7:F7"/>
  </mergeCells>
  <dataValidations count="1">
    <dataValidation sqref="B4" showDropDown="0" showInputMessage="0" showErrorMessage="0" allowBlank="0" type="list">
      <formula1>"1,2,3,4,5,6,7,8,9,10,11,12"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14" customWidth="1" min="4" max="4"/>
    <col width="14" customWidth="1" min="5" max="5"/>
    <col width="28" customWidth="1" min="6" max="6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TUẦN</t>
        </is>
      </c>
      <c r="B1" s="3" t="n"/>
      <c r="C1" s="3" t="n"/>
      <c r="D1" s="3" t="n"/>
      <c r="E1" s="3" t="n"/>
      <c r="F1" s="3" t="n"/>
    </row>
    <row r="2">
      <c r="A2" s="24" t="inlineStr">
        <is>
          <t>Tuần tính theo tuần-trong-tháng: Tuần 1 = ngày 1–7, Tuần 2 = 8–14, ... (khớp cách chia của công ty).</t>
        </is>
      </c>
      <c r="B2" s="5" t="n"/>
      <c r="C2" s="5" t="n"/>
      <c r="D2" s="5" t="n"/>
      <c r="E2" s="5" t="n"/>
      <c r="F2" s="5" t="n"/>
    </row>
    <row r="4">
      <c r="A4" s="25" t="inlineStr">
        <is>
          <t>Tháng</t>
        </is>
      </c>
      <c r="B4" s="26" t="n">
        <v>8</v>
      </c>
      <c r="C4" s="25" t="inlineStr">
        <is>
          <t>Tuần</t>
        </is>
      </c>
      <c r="D4" s="26" t="n">
        <v>2</v>
      </c>
      <c r="E4" s="25" t="inlineStr">
        <is>
          <t>Năm</t>
        </is>
      </c>
      <c r="F4" s="26" t="n">
        <v>2026</v>
      </c>
      <c r="N4">
        <f>DATE(F4,B4,(D4-1)*7+1)</f>
        <v/>
      </c>
      <c r="O4">
        <f>MIN(EOMONTH(DATE(F4,B4,1),0),DATE(F4,B4,D4*7))</f>
        <v/>
      </c>
    </row>
    <row r="5">
      <c r="A5" s="62" t="inlineStr">
        <is>
          <t>Từ ngày</t>
        </is>
      </c>
      <c r="B5" s="63">
        <f>N4</f>
        <v/>
      </c>
      <c r="C5" s="62" t="inlineStr">
        <is>
          <t>Đến ngày</t>
        </is>
      </c>
      <c r="D5" s="63">
        <f>O4</f>
        <v/>
      </c>
      <c r="E5" s="64">
        <f>IF(ISERROR('z_Trang'!$B$1),"⚠ Chưa kết nối","✔ Đã kết nối")</f>
        <v/>
      </c>
      <c r="F5" s="5" t="n"/>
    </row>
    <row r="7" ht="22" customHeight="1">
      <c r="A7" s="11" t="inlineStr">
        <is>
          <t>CHỈ SỐ TRONG TUẦN</t>
        </is>
      </c>
      <c r="B7" s="7" t="n"/>
      <c r="C7" s="7" t="n"/>
      <c r="D7" s="7" t="n"/>
      <c r="E7" s="7" t="n"/>
      <c r="F7" s="7" t="n"/>
    </row>
    <row r="8">
      <c r="A8" s="28" t="inlineStr">
        <is>
          <t>Chỉ số</t>
        </is>
      </c>
      <c r="B8" s="29" t="inlineStr">
        <is>
          <t>Kết quả</t>
        </is>
      </c>
      <c r="C8" s="28" t="inlineStr">
        <is>
          <t>Ghi chú</t>
        </is>
      </c>
      <c r="D8" s="65" t="n"/>
      <c r="E8" s="65" t="n"/>
      <c r="F8" s="65" t="n"/>
    </row>
    <row r="9">
      <c r="A9" s="46" t="inlineStr">
        <is>
          <t>Công việc hoàn thành</t>
        </is>
      </c>
      <c r="B9" s="33">
        <f>COUNTIFS('z_CV'!$B:$B,"&gt;="&amp;$N$4,'z_CV'!$B:$B,"&lt;="&amp;$O$4,'z_CV'!$O:$O,"Hoàn thành")</f>
        <v/>
      </c>
      <c r="C9" s="36" t="inlineStr">
        <is>
          <t>Nhật ký công việc theo ngày</t>
        </is>
      </c>
      <c r="D9" s="48" t="n"/>
      <c r="E9" s="48" t="n"/>
      <c r="F9" s="48" t="n"/>
    </row>
    <row r="10">
      <c r="A10" s="49" t="inlineStr">
        <is>
          <t>Công việc đang tiến hành</t>
        </is>
      </c>
      <c r="B10" s="39">
        <f>COUNTIFS('z_CV'!$B:$B,"&gt;="&amp;$N$4,'z_CV'!$B:$B,"&lt;="&amp;$O$4,'z_CV'!$O:$O,"Đang làm")</f>
        <v/>
      </c>
      <c r="C10" s="42" t="inlineStr"/>
      <c r="D10" s="51" t="n"/>
      <c r="E10" s="51" t="n"/>
      <c r="F10" s="51" t="n"/>
    </row>
    <row r="11">
      <c r="A11" s="46" t="inlineStr">
        <is>
          <t>Lỗi phát hiện</t>
        </is>
      </c>
      <c r="B11" s="33">
        <f>COUNTIFS('z_Bug'!$B:$B,"&gt;="&amp;$N$4,'z_Bug'!$B:$B,"&lt;="&amp;$O$4)</f>
        <v/>
      </c>
      <c r="C11" s="36" t="inlineStr">
        <is>
          <t>Theo Ngày phát hiện</t>
        </is>
      </c>
      <c r="D11" s="48" t="n"/>
      <c r="E11" s="48" t="n"/>
      <c r="F11" s="48" t="n"/>
    </row>
    <row r="12">
      <c r="A12" s="49" t="inlineStr">
        <is>
          <t xml:space="preserve">    Critical</t>
        </is>
      </c>
      <c r="B12" s="53">
        <f>COUNTIFS('z_Bug'!$B:$B,"&gt;="&amp;$N$4,'z_Bug'!$B:$B,"&lt;="&amp;$O$4,'z_Bug'!$L:$L,"Critical")</f>
        <v/>
      </c>
      <c r="C12" s="42" t="inlineStr"/>
      <c r="D12" s="51" t="n"/>
      <c r="E12" s="51" t="n"/>
      <c r="F12" s="51" t="n"/>
    </row>
    <row r="13">
      <c r="A13" s="46" t="inlineStr">
        <is>
          <t xml:space="preserve">    High</t>
        </is>
      </c>
      <c r="B13" s="52">
        <f>COUNTIFS('z_Bug'!$B:$B,"&gt;="&amp;$N$4,'z_Bug'!$B:$B,"&lt;="&amp;$O$4,'z_Bug'!$L:$L,"High")</f>
        <v/>
      </c>
      <c r="C13" s="36" t="inlineStr"/>
      <c r="D13" s="48" t="n"/>
      <c r="E13" s="48" t="n"/>
      <c r="F13" s="48" t="n"/>
    </row>
    <row r="14">
      <c r="A14" s="49" t="inlineStr">
        <is>
          <t xml:space="preserve">    Medium</t>
        </is>
      </c>
      <c r="B14" s="66">
        <f>COUNTIFS('z_Bug'!$B:$B,"&gt;="&amp;$N$4,'z_Bug'!$B:$B,"&lt;="&amp;$O$4,'z_Bug'!$L:$L,"Medium")</f>
        <v/>
      </c>
      <c r="C14" s="42" t="inlineStr"/>
      <c r="D14" s="51" t="n"/>
      <c r="E14" s="51" t="n"/>
      <c r="F14" s="51" t="n"/>
    </row>
    <row r="15">
      <c r="A15" s="46" t="inlineStr">
        <is>
          <t xml:space="preserve">    Low</t>
        </is>
      </c>
      <c r="B15" s="67">
        <f>COUNTIFS('z_Bug'!$B:$B,"&gt;="&amp;$N$4,'z_Bug'!$B:$B,"&lt;="&amp;$O$4,'z_Bug'!$L:$L,"Low")</f>
        <v/>
      </c>
      <c r="C15" s="36" t="inlineStr"/>
      <c r="D15" s="48" t="n"/>
      <c r="E15" s="48" t="n"/>
      <c r="F15" s="48" t="n"/>
    </row>
    <row r="16">
      <c r="A16" s="49" t="inlineStr">
        <is>
          <t>Lỗi Dev báo fix</t>
        </is>
      </c>
      <c r="B16" s="39">
        <f>COUNTIFS('z_Bug'!$W:$W,"&gt;="&amp;$N$4,'z_Bug'!$W:$W,"&lt;="&amp;$O$4)</f>
        <v/>
      </c>
      <c r="C16" s="42" t="inlineStr">
        <is>
          <t>Theo Ngày Dev báo fix</t>
        </is>
      </c>
      <c r="D16" s="51" t="n"/>
      <c r="E16" s="51" t="n"/>
      <c r="F16" s="51" t="n"/>
    </row>
    <row r="17">
      <c r="A17" s="46" t="inlineStr">
        <is>
          <t>Lỗi còn mở hiện tại</t>
        </is>
      </c>
      <c r="B17" s="52">
        <f>'z_Tong'!$L$2</f>
        <v/>
      </c>
      <c r="C17" s="36" t="inlineStr">
        <is>
          <t>Tồn tại tại thời điểm xem</t>
        </is>
      </c>
      <c r="D17" s="48" t="n"/>
      <c r="E17" s="48" t="n"/>
      <c r="F17" s="48" t="n"/>
    </row>
    <row r="19" ht="22" customHeight="1">
      <c r="A19" s="11" t="inlineStr">
        <is>
          <t>TIẾN ĐỘ TOÀN WEBSITE (thời điểm xem)</t>
        </is>
      </c>
      <c r="B19" s="7" t="n"/>
      <c r="C19" s="7" t="n"/>
      <c r="D19" s="7" t="n"/>
      <c r="E19" s="7" t="n"/>
      <c r="F19" s="7" t="n"/>
    </row>
    <row r="20">
      <c r="A20" s="43" t="inlineStr">
        <is>
          <t>Chỉ số</t>
        </is>
      </c>
      <c r="B20" s="44" t="inlineStr">
        <is>
          <t>Số lượng</t>
        </is>
      </c>
      <c r="C20" s="44" t="inlineStr">
        <is>
          <t>Tỷ lệ</t>
        </is>
      </c>
      <c r="D20" s="45" t="n"/>
      <c r="E20" s="45" t="n"/>
      <c r="F20" s="45" t="n"/>
    </row>
    <row r="21">
      <c r="A21" s="46" t="inlineStr">
        <is>
          <t>Trang hoàn thành</t>
        </is>
      </c>
      <c r="B21" s="33">
        <f>'z_Trang'!$D$1</f>
        <v/>
      </c>
      <c r="C21" s="47">
        <f>'z_Trang'!$F$1</f>
        <v/>
      </c>
      <c r="D21" s="48" t="n"/>
      <c r="E21" s="48" t="n"/>
      <c r="F21" s="48" t="n"/>
    </row>
    <row r="22">
      <c r="A22" s="49" t="inlineStr">
        <is>
          <t>Tính năng hoàn thành</t>
        </is>
      </c>
      <c r="B22" s="39">
        <f>'z_TinhNang'!$D$1</f>
        <v/>
      </c>
      <c r="C22" s="50">
        <f>'z_TinhNang'!$F$1</f>
        <v/>
      </c>
      <c r="D22" s="51" t="n"/>
      <c r="E22" s="51" t="n"/>
      <c r="F22" s="51" t="n"/>
    </row>
    <row r="23">
      <c r="A23" s="46" t="inlineStr">
        <is>
          <t>Trang cần kiểm tra lại</t>
        </is>
      </c>
      <c r="B23" s="33">
        <f>'z_Trang'!$J$1</f>
        <v/>
      </c>
      <c r="C23" s="47">
        <f>'z_Trang'!$J$1/'z_Trang'!$B$1</f>
        <v/>
      </c>
      <c r="D23" s="48" t="n"/>
      <c r="E23" s="48" t="n"/>
      <c r="F23" s="48" t="n"/>
    </row>
    <row r="24">
      <c r="A24" s="49" t="inlineStr">
        <is>
          <t>Tính năng cần kiểm tra lại</t>
        </is>
      </c>
      <c r="B24" s="39">
        <f>'z_TinhNang'!$J$1</f>
        <v/>
      </c>
      <c r="C24" s="50">
        <f>'z_TinhNang'!$J$1/'z_TinhNang'!$B$1</f>
        <v/>
      </c>
      <c r="D24" s="51" t="n"/>
      <c r="E24" s="51" t="n"/>
      <c r="F24" s="51" t="n"/>
    </row>
  </sheetData>
  <mergeCells count="20">
    <mergeCell ref="C17:F17"/>
    <mergeCell ref="C23:F23"/>
    <mergeCell ref="C8:F8"/>
    <mergeCell ref="E5:F5"/>
    <mergeCell ref="C13:F13"/>
    <mergeCell ref="A2:F2"/>
    <mergeCell ref="C15:F15"/>
    <mergeCell ref="C24:F24"/>
    <mergeCell ref="C14:F14"/>
    <mergeCell ref="A19:F19"/>
    <mergeCell ref="C20:F20"/>
    <mergeCell ref="C16:F16"/>
    <mergeCell ref="C10:F10"/>
    <mergeCell ref="C22:F22"/>
    <mergeCell ref="C9:F9"/>
    <mergeCell ref="A1:F1"/>
    <mergeCell ref="C12:F12"/>
    <mergeCell ref="C21:F21"/>
    <mergeCell ref="C11:F11"/>
    <mergeCell ref="A7:F7"/>
  </mergeCells>
  <dataValidations count="2">
    <dataValidation sqref="B4" showDropDown="0" showInputMessage="0" showErrorMessage="0" allowBlank="0" type="list">
      <formula1>"1,2,3,4,5,6,7,8,9,10,11,12"</formula1>
    </dataValidation>
    <dataValidation sqref="D4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B5E00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0" customWidth="1" min="3" max="3"/>
    <col width="12" customWidth="1" min="4" max="4"/>
    <col width="10" customWidth="1" min="5" max="5"/>
    <col width="16" customWidth="1" min="6" max="6"/>
    <col width="18" customWidth="1" min="7" max="7"/>
    <col width="26" customWidth="1" min="8" max="8"/>
  </cols>
  <sheetData>
    <row r="1" ht="30" customHeight="1">
      <c r="A1" s="2" t="inlineStr">
        <is>
          <t>BIÊN BẢN / CHECKLIST NGHIỆM THU</t>
        </is>
      </c>
      <c r="B1" s="3" t="n"/>
      <c r="C1" s="3" t="n"/>
      <c r="D1" s="3" t="n"/>
      <c r="E1" s="3" t="n"/>
      <c r="F1" s="3" t="n"/>
      <c r="G1" s="3" t="n"/>
      <c r="H1" s="3" t="n"/>
    </row>
    <row r="2">
      <c r="A2" s="24" t="inlineStr">
        <is>
          <t>Dùng để chốt nghiệm thu theo kỳ. Cột Kết luận &amp; Người duyệt do người duyệt điền.</t>
        </is>
      </c>
      <c r="B2" s="5" t="n"/>
      <c r="C2" s="5" t="n"/>
      <c r="D2" s="5" t="n"/>
      <c r="E2" s="5" t="n"/>
      <c r="F2" s="5" t="n"/>
      <c r="G2" s="5" t="n"/>
      <c r="H2" s="5" t="n"/>
    </row>
    <row r="4">
      <c r="A4" s="44" t="inlineStr">
        <is>
          <t>Kỳ nghiệm thu</t>
        </is>
      </c>
      <c r="B4" s="68" t="inlineStr">
        <is>
          <t>Tháng 8 - Tuần 2</t>
        </is>
      </c>
      <c r="C4" s="44" t="inlineStr">
        <is>
          <t>Ngày lập</t>
        </is>
      </c>
      <c r="D4" s="69">
        <f>TODAY()</f>
        <v/>
      </c>
      <c r="E4" s="70" t="n"/>
      <c r="F4" s="44" t="inlineStr">
        <is>
          <t>Người lập</t>
        </is>
      </c>
      <c r="G4" s="71" t="inlineStr"/>
      <c r="H4" s="72" t="inlineStr"/>
    </row>
    <row r="6" ht="30" customHeight="1">
      <c r="A6" s="73" t="inlineStr">
        <is>
          <t>Hạng mục</t>
        </is>
      </c>
      <c r="B6" s="73" t="inlineStr">
        <is>
          <t>Phạm vi</t>
        </is>
      </c>
      <c r="C6" s="73" t="inlineStr">
        <is>
          <t>Tổng</t>
        </is>
      </c>
      <c r="D6" s="73" t="inlineStr">
        <is>
          <t>Hoàn thành</t>
        </is>
      </c>
      <c r="E6" s="73" t="inlineStr">
        <is>
          <t>Tỷ lệ</t>
        </is>
      </c>
      <c r="F6" s="73" t="inlineStr">
        <is>
          <t>Critical/High mở</t>
        </is>
      </c>
      <c r="G6" s="73" t="inlineStr">
        <is>
          <t>Kết luận</t>
        </is>
      </c>
      <c r="H6" s="73" t="inlineStr">
        <is>
          <t>Ghi chú</t>
        </is>
      </c>
    </row>
    <row r="7" ht="26" customHeight="1">
      <c r="A7" s="58" t="inlineStr">
        <is>
          <t>UI/UX</t>
        </is>
      </c>
      <c r="B7" s="74" t="inlineStr">
        <is>
          <t>56 trang</t>
        </is>
      </c>
      <c r="C7" s="75">
        <f>'z_Trang'!$B$1</f>
        <v/>
      </c>
      <c r="D7" s="76">
        <f>'z_Trang'!$D$1</f>
        <v/>
      </c>
      <c r="E7" s="34">
        <f>'z_Trang'!$F$1</f>
        <v/>
      </c>
      <c r="F7" s="77">
        <f>'z_Dash'!$E$17+'z_Dash'!$E$18</f>
        <v/>
      </c>
      <c r="G7" s="78" t="inlineStr">
        <is>
          <t>Chưa nghiệm thu</t>
        </is>
      </c>
      <c r="H7" s="79" t="inlineStr"/>
    </row>
    <row r="8" ht="26" customHeight="1">
      <c r="A8" s="60" t="inlineStr">
        <is>
          <t>Chức năng</t>
        </is>
      </c>
      <c r="B8" s="80" t="inlineStr">
        <is>
          <t>88 tính năng</t>
        </is>
      </c>
      <c r="C8" s="81">
        <f>'z_TinhNang'!$B$1</f>
        <v/>
      </c>
      <c r="D8" s="82">
        <f>'z_TinhNang'!$D$1</f>
        <v/>
      </c>
      <c r="E8" s="40">
        <f>'z_TinhNang'!$F$1</f>
        <v/>
      </c>
      <c r="F8" s="83">
        <f>'z_Dash'!$E$17+'z_Dash'!$E$18</f>
        <v/>
      </c>
      <c r="G8" s="84" t="inlineStr">
        <is>
          <t>Chưa nghiệm thu</t>
        </is>
      </c>
      <c r="H8" s="85" t="inlineStr"/>
    </row>
    <row r="9" ht="26" customHeight="1">
      <c r="A9" s="58" t="inlineStr">
        <is>
          <t>Responsive</t>
        </is>
      </c>
      <c r="B9" s="74" t="inlineStr">
        <is>
          <t>YC_87 + lỗi responsive</t>
        </is>
      </c>
      <c r="C9" s="75" t="inlineStr"/>
      <c r="D9" s="76" t="inlineStr"/>
      <c r="E9" s="32" t="inlineStr"/>
      <c r="F9" s="77">
        <f>COUNTIF('z_Bug'!$K:$K,"*Responsive*")</f>
        <v/>
      </c>
      <c r="G9" s="78" t="inlineStr">
        <is>
          <t>Chưa nghiệm thu</t>
        </is>
      </c>
      <c r="H9" s="79" t="inlineStr"/>
    </row>
    <row r="10" ht="26" customHeight="1">
      <c r="A10" s="60" t="inlineStr">
        <is>
          <t>Bảo mật</t>
        </is>
      </c>
      <c r="B10" s="80" t="inlineStr">
        <is>
          <t>Test Case Security</t>
        </is>
      </c>
      <c r="C10" s="81" t="inlineStr"/>
      <c r="D10" s="82" t="inlineStr"/>
      <c r="E10" s="38" t="inlineStr"/>
      <c r="F10" s="83">
        <f>COUNTIF('z_Bug'!$K:$K,"*Security*")</f>
        <v/>
      </c>
      <c r="G10" s="84" t="inlineStr">
        <is>
          <t>Chưa nghiệm thu</t>
        </is>
      </c>
      <c r="H10" s="85" t="inlineStr"/>
    </row>
    <row r="11" ht="26" customHeight="1">
      <c r="A11" s="58" t="inlineStr">
        <is>
          <t>Dữ liệu</t>
        </is>
      </c>
      <c r="B11" s="74" t="inlineStr">
        <is>
          <t>Test Case API/Database</t>
        </is>
      </c>
      <c r="C11" s="75" t="inlineStr"/>
      <c r="D11" s="76" t="inlineStr"/>
      <c r="E11" s="32" t="inlineStr"/>
      <c r="F11" s="86" t="inlineStr"/>
      <c r="G11" s="78" t="inlineStr">
        <is>
          <t>Chưa nghiệm thu</t>
        </is>
      </c>
      <c r="H11" s="79" t="inlineStr"/>
    </row>
    <row r="13">
      <c r="A13" s="87" t="inlineStr">
        <is>
          <t>KẾT LUẬN CHUNG</t>
        </is>
      </c>
      <c r="B13" s="45" t="n"/>
      <c r="C13" s="88" t="inlineStr">
        <is>
          <t>Chưa nghiệm thu</t>
        </is>
      </c>
      <c r="D13" s="48" t="n"/>
      <c r="E13" s="48" t="n"/>
      <c r="F13" s="48" t="n"/>
      <c r="G13" s="48" t="n"/>
      <c r="H13" s="48" t="n"/>
    </row>
    <row r="14" ht="36" customHeight="1">
      <c r="A14" s="89" t="inlineStr">
        <is>
          <t>Điều kiện khuyến nghị: không còn Critical/High chưa được phê duyệt; phạm vi và bằng chứng đầy đủ; ngoại lệ phải có người duyệt và lý do rõ ràng.</t>
        </is>
      </c>
      <c r="B14" s="90" t="n"/>
      <c r="C14" s="90" t="n"/>
      <c r="D14" s="90" t="n"/>
      <c r="E14" s="90" t="n"/>
      <c r="F14" s="90" t="n"/>
      <c r="G14" s="90" t="n"/>
      <c r="H14" s="90" t="n"/>
    </row>
  </sheetData>
  <mergeCells count="6">
    <mergeCell ref="C13:H13"/>
    <mergeCell ref="A2:H2"/>
    <mergeCell ref="A13:B13"/>
    <mergeCell ref="D4:E4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2026-08-17T06:28:26Z</dcterms:created>
  <dcterms:modified xsi:type="dcterms:W3CDTF">2026-08-17T06:28:26Z</dcterms:modified>
</cp:coreProperties>
</file>